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01 Auth" sheetId="2" state="visible" r:id="rId2"/>
    <sheet xmlns:r="http://schemas.openxmlformats.org/officeDocument/2006/relationships" name="02 Assets" sheetId="3" state="visible" r:id="rId3"/>
    <sheet xmlns:r="http://schemas.openxmlformats.org/officeDocument/2006/relationships" name="03 Agent" sheetId="4" state="visible" r:id="rId4"/>
    <sheet xmlns:r="http://schemas.openxmlformats.org/officeDocument/2006/relationships" name="04 Network" sheetId="5" state="visible" r:id="rId5"/>
    <sheet xmlns:r="http://schemas.openxmlformats.org/officeDocument/2006/relationships" name="05 Vulns" sheetId="6" state="visible" r:id="rId6"/>
    <sheet xmlns:r="http://schemas.openxmlformats.org/officeDocument/2006/relationships" name="06 Secrets" sheetId="7" state="visible" r:id="rId7"/>
    <sheet xmlns:r="http://schemas.openxmlformats.org/officeDocument/2006/relationships" name="07 DarkWeb" sheetId="8" state="visible" r:id="rId8"/>
    <sheet xmlns:r="http://schemas.openxmlformats.org/officeDocument/2006/relationships" name="08 CE" sheetId="9" state="visible" r:id="rId9"/>
    <sheet xmlns:r="http://schemas.openxmlformats.org/officeDocument/2006/relationships" name="09 AI" sheetId="10" state="visible" r:id="rId10"/>
    <sheet xmlns:r="http://schemas.openxmlformats.org/officeDocument/2006/relationships" name="10 SIEM-EDR" sheetId="11" state="visible" r:id="rId11"/>
    <sheet xmlns:r="http://schemas.openxmlformats.org/officeDocument/2006/relationships" name="11 IAM" sheetId="12" state="visible" r:id="rId12"/>
    <sheet xmlns:r="http://schemas.openxmlformats.org/officeDocument/2006/relationships" name="12 ITSM" sheetId="13" state="visible" r:id="rId13"/>
    <sheet xmlns:r="http://schemas.openxmlformats.org/officeDocument/2006/relationships" name="13 Reports" sheetId="14" state="visible" r:id="rId14"/>
    <sheet xmlns:r="http://schemas.openxmlformats.org/officeDocument/2006/relationships" name="14 RBAC" sheetId="15" state="visible" r:id="rId15"/>
    <sheet xmlns:r="http://schemas.openxmlformats.org/officeDocument/2006/relationships" name="15 Alerts" sheetId="16" state="visible" r:id="rId16"/>
    <sheet xmlns:r="http://schemas.openxmlformats.org/officeDocument/2006/relationships" name="16 API" sheetId="17" state="visible" r:id="rId17"/>
    <sheet xmlns:r="http://schemas.openxmlformats.org/officeDocument/2006/relationships" name="17 U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B4D8"/>
      <sz val="10"/>
    </font>
    <font>
      <name val="Arial"/>
      <b val="1"/>
      <color rgb="001B3A5C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i val="1"/>
      <color rgb="0000B4D8"/>
      <sz val="9"/>
    </font>
    <font>
      <name val="Arial"/>
      <color rgb="00FFC000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i val="1"/>
      <color rgb="00595959"/>
      <sz val="8"/>
    </font>
    <font>
      <name val="Arial"/>
      <b val="1"/>
      <color rgb="00375623"/>
      <sz val="9"/>
    </font>
  </fonts>
  <fills count="1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4FB"/>
      </patternFill>
    </fill>
    <fill>
      <patternFill patternType="solid">
        <fgColor rgb="000077A8"/>
      </patternFill>
    </fill>
    <fill>
      <patternFill patternType="solid">
        <fgColor rgb="00FFFFFF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FFF8DC"/>
      </patternFill>
    </fill>
    <fill>
      <patternFill patternType="solid">
        <fgColor rgb="00FFE0DC"/>
      </patternFill>
    </fill>
    <fill>
      <patternFill patternType="solid">
        <fgColor rgb="00F2F2F2"/>
      </patternFill>
    </fill>
    <fill>
      <patternFill patternType="solid">
        <fgColor rgb="00D6F5E3"/>
      </patternFill>
    </fill>
  </fills>
  <borders count="10">
    <border>
      <left/>
      <right/>
      <top/>
      <bottom/>
      <diagonal/>
    </border>
    <border>
      <left style="medium">
        <color rgb="001B3A5C"/>
      </left>
      <right style="thin">
        <color rgb="00BFBFBF"/>
      </right>
      <top style="medium">
        <color rgb="001B3A5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B3A5C"/>
      </top>
      <bottom style="thin">
        <color rgb="00BFBFBF"/>
      </bottom>
    </border>
    <border>
      <left style="thin">
        <color rgb="00BFBFBF"/>
      </left>
      <right style="medium">
        <color rgb="001B3A5C"/>
      </right>
      <top style="medium">
        <color rgb="001B3A5C"/>
      </top>
      <bottom style="thin">
        <color rgb="00BFBFBF"/>
      </bottom>
    </border>
    <border>
      <left style="medium">
        <color rgb="001B3A5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B3A5C"/>
      </right>
      <top style="thin">
        <color rgb="00BFBFBF"/>
      </top>
      <bottom style="thin">
        <color rgb="00BFBFBF"/>
      </bottom>
    </border>
    <border>
      <left style="medium">
        <color rgb="001B3A5C"/>
      </left>
      <right style="thin">
        <color rgb="00BFBFBF"/>
      </right>
      <top style="thin">
        <color rgb="00BFBFBF"/>
      </top>
      <bottom style="medium">
        <color rgb="001B3A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B3A5C"/>
      </bottom>
    </border>
    <border>
      <left style="thin">
        <color rgb="00BFBFBF"/>
      </left>
      <right style="medium">
        <color rgb="001B3A5C"/>
      </right>
      <top style="thin">
        <color rgb="00BFBFBF"/>
      </top>
      <bottom style="medium">
        <color rgb="001B3A5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0" fontId="6" fillId="3" borderId="5" applyAlignment="1" pivotButton="0" quotePrefix="0" xfId="0">
      <alignment horizontal="center" vertical="center"/>
    </xf>
    <xf numFmtId="9" fontId="6" fillId="3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9" fontId="6" fillId="5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9" fontId="7" fillId="4" borderId="9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12" fillId="11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8" fillId="5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13" fillId="10" borderId="6" applyAlignment="1" pivotButton="0" quotePrefix="0" xfId="0">
      <alignment horizontal="center" vertical="center"/>
    </xf>
    <xf numFmtId="0" fontId="14" fillId="12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15" fillId="13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4" customWidth="1" min="9" max="9"/>
  </cols>
  <sheetData>
    <row r="1" ht="8" customHeight="1"/>
    <row r="2" ht="36" customHeight="1">
      <c r="A2" s="1" t="n"/>
      <c r="B2" s="2" t="inlineStr">
        <is>
          <t>CyberAssetIQ – User Acceptance Test Tracker</t>
        </is>
      </c>
    </row>
    <row r="3" ht="18" customHeight="1">
      <c r="B3" s="3" t="inlineStr">
        <is>
          <t>TotalIT Solutions Limited  |  Company No. 16537549</t>
        </is>
      </c>
    </row>
    <row r="4" ht="10" customHeight="1"/>
    <row r="5" ht="16" customHeight="1">
      <c r="B5" s="4" t="inlineStr">
        <is>
          <t>Tester Name:</t>
        </is>
      </c>
      <c r="C5" s="5" t="inlineStr">
        <is>
          <t>Wole Jimlas Adekola</t>
        </is>
      </c>
      <c r="E5" s="4" t="inlineStr">
        <is>
          <t>Test Environment:</t>
        </is>
      </c>
      <c r="F5" s="5" t="inlineStr">
        <is>
          <t>Docker  |  FastAPI  |  PostgreSQL 16</t>
        </is>
      </c>
    </row>
    <row r="6" ht="16" customHeight="1">
      <c r="B6" s="4" t="inlineStr">
        <is>
          <t>Start Date:</t>
        </is>
      </c>
      <c r="C6" s="5" t="inlineStr"/>
      <c r="E6" s="4" t="inlineStr">
        <is>
          <t>Backend URL:</t>
        </is>
      </c>
      <c r="F6" s="5" t="inlineStr">
        <is>
          <t>http://192.168.0.179:8000</t>
        </is>
      </c>
    </row>
    <row r="7" ht="16" customHeight="1">
      <c r="B7" s="4" t="inlineStr">
        <is>
          <t>End Date:</t>
        </is>
      </c>
      <c r="C7" s="5" t="inlineStr"/>
      <c r="E7" s="4" t="inlineStr">
        <is>
          <t>Agent Machine:</t>
        </is>
      </c>
      <c r="F7" s="5" t="inlineStr">
        <is>
          <t>192.168.0.149  (port 8099)</t>
        </is>
      </c>
    </row>
    <row r="8" ht="16" customHeight="1">
      <c r="B8" s="4" t="inlineStr">
        <is>
          <t>Version:</t>
        </is>
      </c>
      <c r="C8" s="5" t="inlineStr">
        <is>
          <t>v2.4+</t>
        </is>
      </c>
      <c r="E8" s="4" t="inlineStr">
        <is>
          <t>API Key:</t>
        </is>
      </c>
      <c r="F8" s="5" t="inlineStr">
        <is>
          <t>cyberassetiq-admin-key-001</t>
        </is>
      </c>
    </row>
    <row r="9" ht="16" customHeight="1">
      <c r="B9" s="4" t="inlineStr">
        <is>
          <t>Tenant:</t>
        </is>
      </c>
      <c r="C9" s="5" t="inlineStr">
        <is>
          <t>tenant-001</t>
        </is>
      </c>
      <c r="E9" s="4" t="inlineStr">
        <is>
          <t>Container:</t>
        </is>
      </c>
      <c r="F9" s="5" t="inlineStr">
        <is>
          <t>cyberassetiq-backend-1</t>
        </is>
      </c>
    </row>
    <row r="10" ht="10" customHeight="1"/>
    <row r="11" ht="22" customHeight="1">
      <c r="B11" s="6" t="inlineStr">
        <is>
          <t>MODULE</t>
        </is>
      </c>
      <c r="C11" s="7" t="inlineStr">
        <is>
          <t>TOTAL TESTS</t>
        </is>
      </c>
      <c r="D11" s="7" t="inlineStr">
        <is>
          <t>PASSED ✅</t>
        </is>
      </c>
      <c r="E11" s="7" t="inlineStr">
        <is>
          <t>FAILED ❌</t>
        </is>
      </c>
      <c r="F11" s="7" t="inlineStr">
        <is>
          <t>SKIPPED ⏭</t>
        </is>
      </c>
      <c r="G11" s="7" t="inlineStr">
        <is>
          <t>PENDING ⏳</t>
        </is>
      </c>
      <c r="H11" s="8" t="inlineStr">
        <is>
          <t>PASS RATE</t>
        </is>
      </c>
    </row>
    <row r="12" ht="16" customHeight="1">
      <c r="B12" s="9" t="inlineStr">
        <is>
          <t>01 – Authentication &amp; User Management</t>
        </is>
      </c>
      <c r="C12" s="10">
        <f>COUNTA('01 Auth'!E:E)-1</f>
        <v/>
      </c>
      <c r="D12" s="10">
        <f>COUNTIF('01 Auth'!E:E,"Passed")</f>
        <v/>
      </c>
      <c r="E12" s="10">
        <f>COUNTIF('01 Auth'!E:E,"Failed")</f>
        <v/>
      </c>
      <c r="F12" s="10">
        <f>COUNTIF('01 Auth'!E:E,"Skipped")</f>
        <v/>
      </c>
      <c r="G12" s="10">
        <f>COUNTIF('01 Auth'!E:E,"Pending")</f>
        <v/>
      </c>
      <c r="H12" s="11">
        <f>IFERROR(D12/C12,"-")</f>
        <v/>
      </c>
    </row>
    <row r="13" ht="16" customHeight="1">
      <c r="B13" s="12" t="inlineStr">
        <is>
          <t>02 – Asset Discovery &amp; Inventory</t>
        </is>
      </c>
      <c r="C13" s="13">
        <f>COUNTA('02 Assets'!E:E)-1</f>
        <v/>
      </c>
      <c r="D13" s="13">
        <f>COUNTIF('02 Assets'!E:E,"Passed")</f>
        <v/>
      </c>
      <c r="E13" s="13">
        <f>COUNTIF('02 Assets'!E:E,"Failed")</f>
        <v/>
      </c>
      <c r="F13" s="13">
        <f>COUNTIF('02 Assets'!E:E,"Skipped")</f>
        <v/>
      </c>
      <c r="G13" s="13">
        <f>COUNTIF('02 Assets'!E:E,"Pending")</f>
        <v/>
      </c>
      <c r="H13" s="14">
        <f>IFERROR(D13/C13,"-")</f>
        <v/>
      </c>
    </row>
    <row r="14" ht="16" customHeight="1">
      <c r="B14" s="9" t="inlineStr">
        <is>
          <t>03 – Windows Agent</t>
        </is>
      </c>
      <c r="C14" s="10">
        <f>COUNTA('03 Agent'!E:E)-1</f>
        <v/>
      </c>
      <c r="D14" s="10">
        <f>COUNTIF('03 Agent'!E:E,"Passed")</f>
        <v/>
      </c>
      <c r="E14" s="10">
        <f>COUNTIF('03 Agent'!E:E,"Failed")</f>
        <v/>
      </c>
      <c r="F14" s="10">
        <f>COUNTIF('03 Agent'!E:E,"Skipped")</f>
        <v/>
      </c>
      <c r="G14" s="10">
        <f>COUNTIF('03 Agent'!E:E,"Pending")</f>
        <v/>
      </c>
      <c r="H14" s="11">
        <f>IFERROR(D14/C14,"-")</f>
        <v/>
      </c>
    </row>
    <row r="15" ht="16" customHeight="1">
      <c r="B15" s="12" t="inlineStr">
        <is>
          <t>04 – Network Discovery</t>
        </is>
      </c>
      <c r="C15" s="13">
        <f>COUNTA('04 Network'!E:E)-1</f>
        <v/>
      </c>
      <c r="D15" s="13">
        <f>COUNTIF('04 Network'!E:E,"Passed")</f>
        <v/>
      </c>
      <c r="E15" s="13">
        <f>COUNTIF('04 Network'!E:E,"Failed")</f>
        <v/>
      </c>
      <c r="F15" s="13">
        <f>COUNTIF('04 Network'!E:E,"Skipped")</f>
        <v/>
      </c>
      <c r="G15" s="13">
        <f>COUNTIF('04 Network'!E:E,"Pending")</f>
        <v/>
      </c>
      <c r="H15" s="14">
        <f>IFERROR(D15/C15,"-")</f>
        <v/>
      </c>
    </row>
    <row r="16" ht="16" customHeight="1">
      <c r="B16" s="9" t="inlineStr">
        <is>
          <t>05 – Vulnerability Management</t>
        </is>
      </c>
      <c r="C16" s="10">
        <f>COUNTA('05 Vulns'!E:E)-1</f>
        <v/>
      </c>
      <c r="D16" s="10">
        <f>COUNTIF('05 Vulns'!E:E,"Passed")</f>
        <v/>
      </c>
      <c r="E16" s="10">
        <f>COUNTIF('05 Vulns'!E:E,"Failed")</f>
        <v/>
      </c>
      <c r="F16" s="10">
        <f>COUNTIF('05 Vulns'!E:E,"Skipped")</f>
        <v/>
      </c>
      <c r="G16" s="10">
        <f>COUNTIF('05 Vulns'!E:E,"Pending")</f>
        <v/>
      </c>
      <c r="H16" s="11">
        <f>IFERROR(D16/C16,"-")</f>
        <v/>
      </c>
    </row>
    <row r="17" ht="16" customHeight="1">
      <c r="B17" s="12" t="inlineStr">
        <is>
          <t>06 – Credential / Secret Leak Detection</t>
        </is>
      </c>
      <c r="C17" s="13">
        <f>COUNTA('06 Secrets'!E:E)-1</f>
        <v/>
      </c>
      <c r="D17" s="13">
        <f>COUNTIF('06 Secrets'!E:E,"Passed")</f>
        <v/>
      </c>
      <c r="E17" s="13">
        <f>COUNTIF('06 Secrets'!E:E,"Failed")</f>
        <v/>
      </c>
      <c r="F17" s="13">
        <f>COUNTIF('06 Secrets'!E:E,"Skipped")</f>
        <v/>
      </c>
      <c r="G17" s="13">
        <f>COUNTIF('06 Secrets'!E:E,"Pending")</f>
        <v/>
      </c>
      <c r="H17" s="14">
        <f>IFERROR(D17/C17,"-")</f>
        <v/>
      </c>
    </row>
    <row r="18" ht="16" customHeight="1">
      <c r="B18" s="9" t="inlineStr">
        <is>
          <t>07 – Dark Web Exposure</t>
        </is>
      </c>
      <c r="C18" s="10">
        <f>COUNTA('07 DarkWeb'!E:E)-1</f>
        <v/>
      </c>
      <c r="D18" s="10">
        <f>COUNTIF('07 DarkWeb'!E:E,"Passed")</f>
        <v/>
      </c>
      <c r="E18" s="10">
        <f>COUNTIF('07 DarkWeb'!E:E,"Failed")</f>
        <v/>
      </c>
      <c r="F18" s="10">
        <f>COUNTIF('07 DarkWeb'!E:E,"Skipped")</f>
        <v/>
      </c>
      <c r="G18" s="10">
        <f>COUNTIF('07 DarkWeb'!E:E,"Pending")</f>
        <v/>
      </c>
      <c r="H18" s="11">
        <f>IFERROR(D18/C18,"-")</f>
        <v/>
      </c>
    </row>
    <row r="19" ht="16" customHeight="1">
      <c r="B19" s="12" t="inlineStr">
        <is>
          <t>08 – Cyber Essentials v3.2 Compliance</t>
        </is>
      </c>
      <c r="C19" s="13">
        <f>COUNTA('08 CE'!E:E)-1</f>
        <v/>
      </c>
      <c r="D19" s="13">
        <f>COUNTIF('08 CE'!E:E,"Passed")</f>
        <v/>
      </c>
      <c r="E19" s="13">
        <f>COUNTIF('08 CE'!E:E,"Failed")</f>
        <v/>
      </c>
      <c r="F19" s="13">
        <f>COUNTIF('08 CE'!E:E,"Skipped")</f>
        <v/>
      </c>
      <c r="G19" s="13">
        <f>COUNTIF('08 CE'!E:E,"Pending")</f>
        <v/>
      </c>
      <c r="H19" s="14">
        <f>IFERROR(D19/C19,"-")</f>
        <v/>
      </c>
    </row>
    <row r="20" ht="16" customHeight="1">
      <c r="B20" s="9" t="inlineStr">
        <is>
          <t>09 – AI Security Intelligence</t>
        </is>
      </c>
      <c r="C20" s="10">
        <f>COUNTA('09 AI'!E:E)-1</f>
        <v/>
      </c>
      <c r="D20" s="10">
        <f>COUNTIF('09 AI'!E:E,"Passed")</f>
        <v/>
      </c>
      <c r="E20" s="10">
        <f>COUNTIF('09 AI'!E:E,"Failed")</f>
        <v/>
      </c>
      <c r="F20" s="10">
        <f>COUNTIF('09 AI'!E:E,"Skipped")</f>
        <v/>
      </c>
      <c r="G20" s="10">
        <f>COUNTIF('09 AI'!E:E,"Pending")</f>
        <v/>
      </c>
      <c r="H20" s="11">
        <f>IFERROR(D20/C20,"-")</f>
        <v/>
      </c>
    </row>
    <row r="21" ht="16" customHeight="1">
      <c r="B21" s="12" t="inlineStr">
        <is>
          <t>10 – SIEM &amp; EDR Integrations</t>
        </is>
      </c>
      <c r="C21" s="13">
        <f>COUNTA('10 SIEM-EDR'!E:E)-1</f>
        <v/>
      </c>
      <c r="D21" s="13">
        <f>COUNTIF('10 SIEM-EDR'!E:E,"Passed")</f>
        <v/>
      </c>
      <c r="E21" s="13">
        <f>COUNTIF('10 SIEM-EDR'!E:E,"Failed")</f>
        <v/>
      </c>
      <c r="F21" s="13">
        <f>COUNTIF('10 SIEM-EDR'!E:E,"Skipped")</f>
        <v/>
      </c>
      <c r="G21" s="13">
        <f>COUNTIF('10 SIEM-EDR'!E:E,"Pending")</f>
        <v/>
      </c>
      <c r="H21" s="14">
        <f>IFERROR(D21/C21,"-")</f>
        <v/>
      </c>
    </row>
    <row r="22" ht="16" customHeight="1">
      <c r="B22" s="9" t="inlineStr">
        <is>
          <t>11 – IAM Integrations (Entra / Okta)</t>
        </is>
      </c>
      <c r="C22" s="10">
        <f>COUNTA('11 IAM'!E:E)-1</f>
        <v/>
      </c>
      <c r="D22" s="10">
        <f>COUNTIF('11 IAM'!E:E,"Passed")</f>
        <v/>
      </c>
      <c r="E22" s="10">
        <f>COUNTIF('11 IAM'!E:E,"Failed")</f>
        <v/>
      </c>
      <c r="F22" s="10">
        <f>COUNTIF('11 IAM'!E:E,"Skipped")</f>
        <v/>
      </c>
      <c r="G22" s="10">
        <f>COUNTIF('11 IAM'!E:E,"Pending")</f>
        <v/>
      </c>
      <c r="H22" s="11">
        <f>IFERROR(D22/C22,"-")</f>
        <v/>
      </c>
    </row>
    <row r="23" ht="16" customHeight="1">
      <c r="B23" s="12" t="inlineStr">
        <is>
          <t>12 – ITSM &amp; MSP Integrations</t>
        </is>
      </c>
      <c r="C23" s="13">
        <f>COUNTA('12 ITSM'!E:E)-1</f>
        <v/>
      </c>
      <c r="D23" s="13">
        <f>COUNTIF('12 ITSM'!E:E,"Passed")</f>
        <v/>
      </c>
      <c r="E23" s="13">
        <f>COUNTIF('12 ITSM'!E:E,"Failed")</f>
        <v/>
      </c>
      <c r="F23" s="13">
        <f>COUNTIF('12 ITSM'!E:E,"Skipped")</f>
        <v/>
      </c>
      <c r="G23" s="13">
        <f>COUNTIF('12 ITSM'!E:E,"Pending")</f>
        <v/>
      </c>
      <c r="H23" s="14">
        <f>IFERROR(D23/C23,"-")</f>
        <v/>
      </c>
    </row>
    <row r="24" ht="16" customHeight="1">
      <c r="B24" s="9" t="inlineStr">
        <is>
          <t>13 – Reporting &amp; Evidence Packages</t>
        </is>
      </c>
      <c r="C24" s="10">
        <f>COUNTA('13 Reports'!E:E)-1</f>
        <v/>
      </c>
      <c r="D24" s="10">
        <f>COUNTIF('13 Reports'!E:E,"Passed")</f>
        <v/>
      </c>
      <c r="E24" s="10">
        <f>COUNTIF('13 Reports'!E:E,"Failed")</f>
        <v/>
      </c>
      <c r="F24" s="10">
        <f>COUNTIF('13 Reports'!E:E,"Skipped")</f>
        <v/>
      </c>
      <c r="G24" s="10">
        <f>COUNTIF('13 Reports'!E:E,"Pending")</f>
        <v/>
      </c>
      <c r="H24" s="11">
        <f>IFERROR(D24/C24,"-")</f>
        <v/>
      </c>
    </row>
    <row r="25" ht="16" customHeight="1">
      <c r="B25" s="12" t="inlineStr">
        <is>
          <t>14 – Multi-Tenancy &amp; RBAC</t>
        </is>
      </c>
      <c r="C25" s="13">
        <f>COUNTA('14 RBAC'!E:E)-1</f>
        <v/>
      </c>
      <c r="D25" s="13">
        <f>COUNTIF('14 RBAC'!E:E,"Passed")</f>
        <v/>
      </c>
      <c r="E25" s="13">
        <f>COUNTIF('14 RBAC'!E:E,"Failed")</f>
        <v/>
      </c>
      <c r="F25" s="13">
        <f>COUNTIF('14 RBAC'!E:E,"Skipped")</f>
        <v/>
      </c>
      <c r="G25" s="13">
        <f>COUNTIF('14 RBAC'!E:E,"Pending")</f>
        <v/>
      </c>
      <c r="H25" s="14">
        <f>IFERROR(D25/C25,"-")</f>
        <v/>
      </c>
    </row>
    <row r="26" ht="16" customHeight="1">
      <c r="B26" s="9" t="inlineStr">
        <is>
          <t>15 – Notifications &amp; Alerts</t>
        </is>
      </c>
      <c r="C26" s="10">
        <f>COUNTA('15 Alerts'!E:E)-1</f>
        <v/>
      </c>
      <c r="D26" s="10">
        <f>COUNTIF('15 Alerts'!E:E,"Passed")</f>
        <v/>
      </c>
      <c r="E26" s="10">
        <f>COUNTIF('15 Alerts'!E:E,"Failed")</f>
        <v/>
      </c>
      <c r="F26" s="10">
        <f>COUNTIF('15 Alerts'!E:E,"Skipped")</f>
        <v/>
      </c>
      <c r="G26" s="10">
        <f>COUNTIF('15 Alerts'!E:E,"Pending")</f>
        <v/>
      </c>
      <c r="H26" s="11">
        <f>IFERROR(D26/C26,"-")</f>
        <v/>
      </c>
    </row>
    <row r="27" ht="16" customHeight="1">
      <c r="B27" s="12" t="inlineStr">
        <is>
          <t>16 – API Endpoints</t>
        </is>
      </c>
      <c r="C27" s="13">
        <f>COUNTA('16 API'!E:E)-1</f>
        <v/>
      </c>
      <c r="D27" s="13">
        <f>COUNTIF('16 API'!E:E,"Passed")</f>
        <v/>
      </c>
      <c r="E27" s="13">
        <f>COUNTIF('16 API'!E:E,"Failed")</f>
        <v/>
      </c>
      <c r="F27" s="13">
        <f>COUNTIF('16 API'!E:E,"Skipped")</f>
        <v/>
      </c>
      <c r="G27" s="13">
        <f>COUNTIF('16 API'!E:E,"Pending")</f>
        <v/>
      </c>
      <c r="H27" s="14">
        <f>IFERROR(D27/C27,"-")</f>
        <v/>
      </c>
    </row>
    <row r="28" ht="16" customHeight="1">
      <c r="B28" s="9" t="inlineStr">
        <is>
          <t>17 – Dashboard UI &amp; UX</t>
        </is>
      </c>
      <c r="C28" s="10">
        <f>COUNTA('17 UI'!E:E)-1</f>
        <v/>
      </c>
      <c r="D28" s="10">
        <f>COUNTIF('17 UI'!E:E,"Passed")</f>
        <v/>
      </c>
      <c r="E28" s="10">
        <f>COUNTIF('17 UI'!E:E,"Failed")</f>
        <v/>
      </c>
      <c r="F28" s="10">
        <f>COUNTIF('17 UI'!E:E,"Skipped")</f>
        <v/>
      </c>
      <c r="G28" s="10">
        <f>COUNTIF('17 UI'!E:E,"Pending")</f>
        <v/>
      </c>
      <c r="H28" s="11">
        <f>IFERROR(D28/C28,"-")</f>
        <v/>
      </c>
    </row>
    <row r="29" ht="20" customHeight="1">
      <c r="B29" s="15" t="inlineStr">
        <is>
          <t>TOTAL</t>
        </is>
      </c>
      <c r="C29" s="16">
        <f>SUM(C12:C28)</f>
        <v/>
      </c>
      <c r="D29" s="16">
        <f>SUM(D12:D28)</f>
        <v/>
      </c>
      <c r="E29" s="16">
        <f>SUM(E12:E28)</f>
        <v/>
      </c>
      <c r="F29" s="16">
        <f>SUM(F12:F28)</f>
        <v/>
      </c>
      <c r="G29" s="16">
        <f>SUM(G12:G28)</f>
        <v/>
      </c>
      <c r="H29" s="17">
        <f>IFERROR(D29/C29,"-")</f>
        <v/>
      </c>
    </row>
    <row r="31">
      <c r="B31" s="18" t="inlineStr">
        <is>
          <t>LEGEND</t>
        </is>
      </c>
    </row>
    <row r="32" ht="15" customHeight="1">
      <c r="B32" s="19" t="inlineStr">
        <is>
          <t>Passed</t>
        </is>
      </c>
      <c r="C32" s="20" t="inlineStr">
        <is>
          <t>Feature works correctly end-to-end (browser + API verified)</t>
        </is>
      </c>
    </row>
    <row r="33" ht="15" customHeight="1">
      <c r="B33" s="21" t="inlineStr">
        <is>
          <t>Failed</t>
        </is>
      </c>
      <c r="C33" s="20" t="inlineStr">
        <is>
          <t>Feature did not work – use Comments column to describe issue</t>
        </is>
      </c>
    </row>
    <row r="34" ht="15" customHeight="1">
      <c r="B34" s="22" t="inlineStr">
        <is>
          <t>Skipped</t>
        </is>
      </c>
      <c r="C34" s="20" t="inlineStr">
        <is>
          <t>Not tested in this cycle (dependency or environment issue)</t>
        </is>
      </c>
    </row>
    <row r="35" ht="15" customHeight="1">
      <c r="B35" s="23" t="inlineStr">
        <is>
          <t>Pending</t>
        </is>
      </c>
      <c r="C35" s="20" t="inlineStr">
        <is>
          <t>Not yet tested – still to do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01 – Authentication &amp; User Management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AUTH-01</t>
        </is>
      </c>
      <c r="B6" s="30" t="inlineStr">
        <is>
          <t>Admin Login via UI</t>
        </is>
      </c>
      <c r="C6" s="31" t="inlineStr">
        <is>
          <t>1. Open http://192.168.0.179:8000
2. Enter admin credentials
3. Click Login</t>
        </is>
      </c>
      <c r="D6" s="31" t="inlineStr">
        <is>
          <t>Redirected to main dashboard. Session token issued. No errors.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AUTH-02</t>
        </is>
      </c>
      <c r="B7" s="36" t="inlineStr">
        <is>
          <t>API Key Authentication</t>
        </is>
      </c>
      <c r="C7" s="37" t="inlineStr">
        <is>
          <t>1. Call GET /api/v1/assets with header X-API-Key: cyberassetiq-admin-key-001
2. Verify 200 response</t>
        </is>
      </c>
      <c r="D7" s="37" t="inlineStr">
        <is>
          <t>200 OK response with asset data returned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AUTH-03</t>
        </is>
      </c>
      <c r="B8" s="30" t="inlineStr">
        <is>
          <t>Invalid API Key Rejected</t>
        </is>
      </c>
      <c r="C8" s="31" t="inlineStr">
        <is>
          <t>1. Call GET /api/v1/assets with header X-API-Key: invalid-key
2. Check response code</t>
        </is>
      </c>
      <c r="D8" s="31" t="inlineStr">
        <is>
          <t>401 Unauthorized response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AUTH-04</t>
        </is>
      </c>
      <c r="B9" s="36" t="inlineStr">
        <is>
          <t>Token Expiry &amp; Refresh</t>
        </is>
      </c>
      <c r="C9" s="37" t="inlineStr">
        <is>
          <t>1. Log in
2. Wait for session expiry or manually expire token
3. Attempt API call</t>
        </is>
      </c>
      <c r="D9" s="37" t="inlineStr">
        <is>
          <t>401 returned with message to re-authenticate. No stale session.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AUTH-05</t>
        </is>
      </c>
      <c r="B10" s="30" t="inlineStr">
        <is>
          <t>Multi-User Login (tenant-001)</t>
        </is>
      </c>
      <c r="C10" s="31" t="inlineStr">
        <is>
          <t>1. Create a second user under tenant-001
2. Log in with new user
3. Verify data isolation</t>
        </is>
      </c>
      <c r="D10" s="31" t="inlineStr">
        <is>
          <t>New user can log in. Sees only their tenant data.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AUTH-06</t>
        </is>
      </c>
      <c r="B11" s="36" t="inlineStr">
        <is>
          <t>Password Reset Flow</t>
        </is>
      </c>
      <c r="C11" s="37" t="inlineStr">
        <is>
          <t>1. Click 'Forgot Password'
2. Enter registered email
3. Follow reset link</t>
        </is>
      </c>
      <c r="D11" s="37" t="inlineStr">
        <is>
          <t>Reset email sent. Password updated. User can log in with new password.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52" customHeight="1">
      <c r="A12" s="29" t="inlineStr">
        <is>
          <t>AUTH-07</t>
        </is>
      </c>
      <c r="B12" s="30" t="inlineStr">
        <is>
          <t>Logout Clears Session</t>
        </is>
      </c>
      <c r="C12" s="31" t="inlineStr">
        <is>
          <t>1. Log in
2. Click Logout
3. Try to navigate to a protected page</t>
        </is>
      </c>
      <c r="D12" s="31" t="inlineStr">
        <is>
          <t>Session invalidated. Redirected to login page. API returns 401.</t>
        </is>
      </c>
      <c r="E12" s="32" t="inlineStr">
        <is>
          <t>Pending</t>
        </is>
      </c>
      <c r="F12" s="33" t="inlineStr"/>
      <c r="G12" s="31" t="inlineStr"/>
      <c r="H12" s="39" t="inlineStr">
        <is>
          <t>Medium</t>
        </is>
      </c>
    </row>
    <row r="13" ht="28" customHeight="1">
      <c r="A13" s="40" t="inlineStr">
        <is>
          <t>💡  HOW TO USE:  Select STATUS dropdown → choose Passed / Failed / Skipped.  For Failed tests, describe the exact error in the TESTER NOTES column.  Date format: DD/MM/YYYY</t>
        </is>
      </c>
      <c r="B13" s="41" t="n"/>
      <c r="C13" s="41" t="n"/>
      <c r="D13" s="41" t="n"/>
      <c r="E13" s="41" t="n"/>
      <c r="F13" s="41" t="n"/>
      <c r="G13" s="41" t="n"/>
      <c r="H13" s="42" t="n"/>
    </row>
  </sheetData>
  <mergeCells count="3">
    <mergeCell ref="A3:H3"/>
    <mergeCell ref="A2:H2"/>
    <mergeCell ref="A13:H13"/>
  </mergeCells>
  <dataValidations count="1">
    <dataValidation sqref="E6 E7 E8 E9 E10 E11 E12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02 – Asset Discovery &amp; Inventory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ASSET-01</t>
        </is>
      </c>
      <c r="B6" s="30" t="inlineStr">
        <is>
          <t>Asset List Loads</t>
        </is>
      </c>
      <c r="C6" s="31" t="inlineStr">
        <is>
          <t>1. Log in
2. Navigate to Assets section
3. Observe asset list</t>
        </is>
      </c>
      <c r="D6" s="31" t="inlineStr">
        <is>
          <t>Asset table loads with columns: name, IP, OS, last seen, risk score.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ASSET-02</t>
        </is>
      </c>
      <c r="B7" s="36" t="inlineStr">
        <is>
          <t>Manual Asset Creation</t>
        </is>
      </c>
      <c r="C7" s="37" t="inlineStr">
        <is>
          <t>1. Click 'Add Asset'
2. Fill in name, IP, OS type
3. Save</t>
        </is>
      </c>
      <c r="D7" s="37" t="inlineStr">
        <is>
          <t>New asset appears in list immediately. Stored in DB.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ASSET-03</t>
        </is>
      </c>
      <c r="B8" s="30" t="inlineStr">
        <is>
          <t>Asset Search &amp; Filter</t>
        </is>
      </c>
      <c r="C8" s="31" t="inlineStr">
        <is>
          <t>1. In asset list, type a hostname in the search box
2. Apply OS filter</t>
        </is>
      </c>
      <c r="D8" s="31" t="inlineStr">
        <is>
          <t>Filtered results match search term. Non-matching assets hidden.</t>
        </is>
      </c>
      <c r="E8" s="32" t="inlineStr">
        <is>
          <t>Pending</t>
        </is>
      </c>
      <c r="F8" s="33" t="inlineStr"/>
      <c r="G8" s="31" t="inlineStr"/>
      <c r="H8" s="39" t="inlineStr">
        <is>
          <t>Medium</t>
        </is>
      </c>
    </row>
    <row r="9" ht="52" customHeight="1">
      <c r="A9" s="35" t="inlineStr">
        <is>
          <t>ASSET-04</t>
        </is>
      </c>
      <c r="B9" s="36" t="inlineStr">
        <is>
          <t>Asset Detail View</t>
        </is>
      </c>
      <c r="C9" s="37" t="inlineStr">
        <is>
          <t>1. Click any asset in the list
2. View detail panel</t>
        </is>
      </c>
      <c r="D9" s="37" t="inlineStr">
        <is>
          <t>Detail panel shows: IP, MAC, OS, patch level, open CVEs, last scan time.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ASSET-05</t>
        </is>
      </c>
      <c r="B10" s="30" t="inlineStr">
        <is>
          <t>Asset Deduplication</t>
        </is>
      </c>
      <c r="C10" s="31" t="inlineStr">
        <is>
          <t>1. Submit the same asset twice (same MAC/IP)
2. Check asset count</t>
        </is>
      </c>
      <c r="D10" s="31" t="inlineStr">
        <is>
          <t>Only one entry created. Canonical merge logic prevents duplicate.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ASSET-06</t>
        </is>
      </c>
      <c r="B11" s="36" t="inlineStr">
        <is>
          <t>Asset Edit &amp; Update</t>
        </is>
      </c>
      <c r="C11" s="37" t="inlineStr">
        <is>
          <t>1. Open an existing asset
2. Edit the hostname
3. Save</t>
        </is>
      </c>
      <c r="D11" s="37" t="inlineStr">
        <is>
          <t>Updated hostname reflected immediately. Audit log entry created.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52" customHeight="1">
      <c r="A12" s="29" t="inlineStr">
        <is>
          <t>ASSET-07</t>
        </is>
      </c>
      <c r="B12" s="30" t="inlineStr">
        <is>
          <t>Asset Delete</t>
        </is>
      </c>
      <c r="C12" s="31" t="inlineStr">
        <is>
          <t>1. Select an asset
2. Click Delete
3. Confirm</t>
        </is>
      </c>
      <c r="D12" s="31" t="inlineStr">
        <is>
          <t>Asset removed from list. Not retrievable via API.</t>
        </is>
      </c>
      <c r="E12" s="32" t="inlineStr">
        <is>
          <t>Pending</t>
        </is>
      </c>
      <c r="F12" s="33" t="inlineStr"/>
      <c r="G12" s="31" t="inlineStr"/>
      <c r="H12" s="43" t="inlineStr">
        <is>
          <t>Low</t>
        </is>
      </c>
    </row>
    <row r="13" ht="52" customHeight="1">
      <c r="A13" s="35" t="inlineStr">
        <is>
          <t>ASSET-08</t>
        </is>
      </c>
      <c r="B13" s="36" t="inlineStr">
        <is>
          <t>Asset Risk Score Display</t>
        </is>
      </c>
      <c r="C13" s="37" t="inlineStr">
        <is>
          <t>1. View an asset with known CVEs
2. Check risk score</t>
        </is>
      </c>
      <c r="D13" s="37" t="inlineStr">
        <is>
          <t>Risk score is calculated and displayed. High CVE count = High risk.</t>
        </is>
      </c>
      <c r="E13" s="32" t="inlineStr">
        <is>
          <t>Pending</t>
        </is>
      </c>
      <c r="F13" s="38" t="inlineStr"/>
      <c r="G13" s="37" t="inlineStr"/>
      <c r="H13" s="34" t="inlineStr">
        <is>
          <t>High</t>
        </is>
      </c>
    </row>
    <row r="14" ht="52" customHeight="1">
      <c r="A14" s="29" t="inlineStr">
        <is>
          <t>ASSET-09</t>
        </is>
      </c>
      <c r="B14" s="30" t="inlineStr">
        <is>
          <t>Cloud Asset Discovery (Azure/AWS)</t>
        </is>
      </c>
      <c r="C14" s="31" t="inlineStr">
        <is>
          <t>1. Configure cloud integration credentials
2. Trigger cloud scan</t>
        </is>
      </c>
      <c r="D14" s="31" t="inlineStr">
        <is>
          <t>Cloud resources appear as assets with provider tag (Azure/AWS).</t>
        </is>
      </c>
      <c r="E14" s="32" t="inlineStr">
        <is>
          <t>Pending</t>
        </is>
      </c>
      <c r="F14" s="33" t="inlineStr"/>
      <c r="G14" s="31" t="inlineStr"/>
      <c r="H14" s="34" t="inlineStr">
        <is>
          <t>High</t>
        </is>
      </c>
    </row>
    <row r="15" ht="52" customHeight="1">
      <c r="A15" s="35" t="inlineStr">
        <is>
          <t>ASSET-10</t>
        </is>
      </c>
      <c r="B15" s="36" t="inlineStr">
        <is>
          <t>SaaS Asset Discovery</t>
        </is>
      </c>
      <c r="C15" s="37" t="inlineStr">
        <is>
          <t>1. Connect an Office 365 / Google Workspace account
2. Run discovery</t>
        </is>
      </c>
      <c r="D15" s="37" t="inlineStr">
        <is>
          <t>SaaS services appear as assets in inventory.</t>
        </is>
      </c>
      <c r="E15" s="32" t="inlineStr">
        <is>
          <t>Pending</t>
        </is>
      </c>
      <c r="F15" s="38" t="inlineStr"/>
      <c r="G15" s="37" t="inlineStr"/>
      <c r="H15" s="39" t="inlineStr">
        <is>
          <t>Medium</t>
        </is>
      </c>
    </row>
    <row r="16" ht="28" customHeight="1">
      <c r="A16" s="40" t="inlineStr">
        <is>
          <t>💡  HOW TO USE:  Select STATUS dropdown → choose Passed / Failed / Skipped.  For Failed tests, describe the exact error in the TESTER NOTES column.  Date format: DD/MM/YYYY</t>
        </is>
      </c>
      <c r="B16" s="41" t="n"/>
      <c r="C16" s="41" t="n"/>
      <c r="D16" s="41" t="n"/>
      <c r="E16" s="41" t="n"/>
      <c r="F16" s="41" t="n"/>
      <c r="G16" s="41" t="n"/>
      <c r="H16" s="42" t="n"/>
    </row>
  </sheetData>
  <mergeCells count="3">
    <mergeCell ref="A16:H16"/>
    <mergeCell ref="A3:H3"/>
    <mergeCell ref="A2:H2"/>
  </mergeCells>
  <dataValidations count="1">
    <dataValidation sqref="E6 E7 E8 E9 E10 E11 E12 E13 E14 E15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03 – Windows Agent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AGENT-01</t>
        </is>
      </c>
      <c r="B6" s="30" t="inlineStr">
        <is>
          <t>Agent Registers with Backend</t>
        </is>
      </c>
      <c r="C6" s="31" t="inlineStr">
        <is>
          <t>1. On 192.168.0.149, start Windows agent
2. Check http://192.168.0.179:8000/api/v1/agents</t>
        </is>
      </c>
      <c r="D6" s="31" t="inlineStr">
        <is>
          <t>Agent appears with status 'active', IP, hostname visible.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AGENT-02</t>
        </is>
      </c>
      <c r="B7" s="36" t="inlineStr">
        <is>
          <t>Agent Heartbeat</t>
        </is>
      </c>
      <c r="C7" s="37" t="inlineStr">
        <is>
          <t>1. Leave agent running for 5 minutes
2. Check last_seen timestamp in agent list</t>
        </is>
      </c>
      <c r="D7" s="37" t="inlineStr">
        <is>
          <t>last_seen updates every heartbeat interval (≤5 min).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AGENT-03</t>
        </is>
      </c>
      <c r="B8" s="30" t="inlineStr">
        <is>
          <t>Agent Collects Endpoints</t>
        </is>
      </c>
      <c r="C8" s="31" t="inlineStr">
        <is>
          <t>1. After agent runs discovery
2. Check asset list for new entries from agent machine</t>
        </is>
      </c>
      <c r="D8" s="31" t="inlineStr">
        <is>
          <t>Endpoints discovered by agent appear in asset inventory.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AGENT-04</t>
        </is>
      </c>
      <c r="B9" s="36" t="inlineStr">
        <is>
          <t>Registry Scan</t>
        </is>
      </c>
      <c r="C9" s="37" t="inlineStr">
        <is>
          <t>1. Agent performs registry scan
2. Check assets for installed software list</t>
        </is>
      </c>
      <c r="D9" s="37" t="inlineStr">
        <is>
          <t>Installed software populated against the asset from registry data.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AGENT-05</t>
        </is>
      </c>
      <c r="B10" s="30" t="inlineStr">
        <is>
          <t>Agent Offline Detection</t>
        </is>
      </c>
      <c r="C10" s="31" t="inlineStr">
        <is>
          <t>1. Stop the agent service
2. Wait 10+ minutes
3. Check agent status</t>
        </is>
      </c>
      <c r="D10" s="31" t="inlineStr">
        <is>
          <t>Agent status changes to 'inactive' or 'offline'. Alert triggered.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52" customHeight="1">
      <c r="A11" s="35" t="inlineStr">
        <is>
          <t>AGENT-06</t>
        </is>
      </c>
      <c r="B11" s="36" t="inlineStr">
        <is>
          <t>Agent Auto-Reconnect</t>
        </is>
      </c>
      <c r="C11" s="37" t="inlineStr">
        <is>
          <t>1. Stop agent, wait 5 minutes, restart
2. Check backend</t>
        </is>
      </c>
      <c r="D11" s="37" t="inlineStr">
        <is>
          <t>Agent reconnects and resumes data posting without manual intervention.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52" customHeight="1">
      <c r="A12" s="29" t="inlineStr">
        <is>
          <t>AGENT-07</t>
        </is>
      </c>
      <c r="B12" s="30" t="inlineStr">
        <is>
          <t>Agent Reports Patch Level</t>
        </is>
      </c>
      <c r="C12" s="31" t="inlineStr">
        <is>
          <t>1. Run agent on a Windows machine with known missing patches
2. Check vulnerability data</t>
        </is>
      </c>
      <c r="D12" s="31" t="inlineStr">
        <is>
          <t>Missing patches listed under the asset in vulnerability module.</t>
        </is>
      </c>
      <c r="E12" s="32" t="inlineStr">
        <is>
          <t>Pending</t>
        </is>
      </c>
      <c r="F12" s="33" t="inlineStr"/>
      <c r="G12" s="31" t="inlineStr"/>
      <c r="H12" s="34" t="inlineStr">
        <is>
          <t>High</t>
        </is>
      </c>
    </row>
    <row r="13" ht="28" customHeight="1">
      <c r="A13" s="40" t="inlineStr">
        <is>
          <t>💡  HOW TO USE:  Select STATUS dropdown → choose Passed / Failed / Skipped.  For Failed tests, describe the exact error in the TESTER NOTES column.  Date format: DD/MM/YYYY</t>
        </is>
      </c>
      <c r="B13" s="41" t="n"/>
      <c r="C13" s="41" t="n"/>
      <c r="D13" s="41" t="n"/>
      <c r="E13" s="41" t="n"/>
      <c r="F13" s="41" t="n"/>
      <c r="G13" s="41" t="n"/>
      <c r="H13" s="42" t="n"/>
    </row>
  </sheetData>
  <mergeCells count="3">
    <mergeCell ref="A3:H3"/>
    <mergeCell ref="A2:H2"/>
    <mergeCell ref="A13:H13"/>
  </mergeCells>
  <dataValidations count="1">
    <dataValidation sqref="E6 E7 E8 E9 E10 E11 E12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04 – Network Discovery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NET-01</t>
        </is>
      </c>
      <c r="B6" s="30" t="inlineStr">
        <is>
          <t>Network Scan Initiation</t>
        </is>
      </c>
      <c r="C6" s="31" t="inlineStr">
        <is>
          <t>1. Go to Network Discovery
2. Enter subnet (e.g. 192.168.0.0/24)
3. Click Scan</t>
        </is>
      </c>
      <c r="D6" s="31" t="inlineStr">
        <is>
          <t>Scan starts. Progress indicator shown. Assets discovered.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NET-02</t>
        </is>
      </c>
      <c r="B7" s="36" t="inlineStr">
        <is>
          <t>Discovered Assets Added to Inventory</t>
        </is>
      </c>
      <c r="C7" s="37" t="inlineStr">
        <is>
          <t>1. After network scan completes
2. Check asset list</t>
        </is>
      </c>
      <c r="D7" s="37" t="inlineStr">
        <is>
          <t>All discovered hosts added to inventory with IP, MAC, open ports.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NET-03</t>
        </is>
      </c>
      <c r="B8" s="30" t="inlineStr">
        <is>
          <t>Port Scan Results</t>
        </is>
      </c>
      <c r="C8" s="31" t="inlineStr">
        <is>
          <t>1. Run scan on a known host
2. View port results</t>
        </is>
      </c>
      <c r="D8" s="31" t="inlineStr">
        <is>
          <t>Open ports listed correctly (e.g. 80, 443, 3389 where applicable).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NET-04</t>
        </is>
      </c>
      <c r="B9" s="36" t="inlineStr">
        <is>
          <t>Scan History</t>
        </is>
      </c>
      <c r="C9" s="37" t="inlineStr">
        <is>
          <t>1. Run two scans on same subnet
2. Check scan history</t>
        </is>
      </c>
      <c r="D9" s="37" t="inlineStr">
        <is>
          <t>Both scans listed with timestamps. Delta changes highlighted.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NET-05</t>
        </is>
      </c>
      <c r="B10" s="30" t="inlineStr">
        <is>
          <t>Agentless Discovery (No agent installed)</t>
        </is>
      </c>
      <c r="C10" s="31" t="inlineStr">
        <is>
          <t>1. Target a machine with no agent
2. Run network scan</t>
        </is>
      </c>
      <c r="D10" s="31" t="inlineStr">
        <is>
          <t>Machine discovered via network scan and added to inventory.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28" customHeight="1">
      <c r="A11" s="40" t="inlineStr">
        <is>
          <t>💡  HOW TO USE:  Select STATUS dropdown → choose Passed / Failed / Skipped.  For Failed tests, describe the exact error in the TESTER NOTES column.  Date format: DD/MM/YYYY</t>
        </is>
      </c>
      <c r="B11" s="41" t="n"/>
      <c r="C11" s="41" t="n"/>
      <c r="D11" s="41" t="n"/>
      <c r="E11" s="41" t="n"/>
      <c r="F11" s="41" t="n"/>
      <c r="G11" s="41" t="n"/>
      <c r="H11" s="42" t="n"/>
    </row>
  </sheetData>
  <mergeCells count="3">
    <mergeCell ref="A11:H11"/>
    <mergeCell ref="A3:H3"/>
    <mergeCell ref="A2:H2"/>
  </mergeCells>
  <dataValidations count="1">
    <dataValidation sqref="E6 E7 E8 E9 E10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1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05 – Vulnerability Management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VULN-01</t>
        </is>
      </c>
      <c r="B6" s="30" t="inlineStr">
        <is>
          <t>CVE List Loads for Asset</t>
        </is>
      </c>
      <c r="C6" s="31" t="inlineStr">
        <is>
          <t>1. Open an asset detail
2. Navigate to Vulnerabilities tab</t>
        </is>
      </c>
      <c r="D6" s="31" t="inlineStr">
        <is>
          <t>CVEs listed with: CVE ID, CVSS score, severity, description, patch status.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VULN-02</t>
        </is>
      </c>
      <c r="B7" s="36" t="inlineStr">
        <is>
          <t>NVD API Integration</t>
        </is>
      </c>
      <c r="C7" s="37" t="inlineStr">
        <is>
          <t>1. Trigger vulnerability sync
2. Check CVE data is from NVD</t>
        </is>
      </c>
      <c r="D7" s="37" t="inlineStr">
        <is>
          <t>CVEs correlate to NVD data. Descriptions match NVD records.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VULN-03</t>
        </is>
      </c>
      <c r="B8" s="30" t="inlineStr">
        <is>
          <t>Vulnerability Severity Filter</t>
        </is>
      </c>
      <c r="C8" s="31" t="inlineStr">
        <is>
          <t>1. In vuln list, filter by 'Critical'
2. Verify only critical CVEs shown</t>
        </is>
      </c>
      <c r="D8" s="31" t="inlineStr">
        <is>
          <t>Only CVSS 9.0+ CVEs displayed when Critical filter applied.</t>
        </is>
      </c>
      <c r="E8" s="32" t="inlineStr">
        <is>
          <t>Pending</t>
        </is>
      </c>
      <c r="F8" s="33" t="inlineStr"/>
      <c r="G8" s="31" t="inlineStr"/>
      <c r="H8" s="39" t="inlineStr">
        <is>
          <t>Medium</t>
        </is>
      </c>
    </row>
    <row r="9" ht="52" customHeight="1">
      <c r="A9" s="35" t="inlineStr">
        <is>
          <t>VULN-04</t>
        </is>
      </c>
      <c r="B9" s="36" t="inlineStr">
        <is>
          <t>Mark as Accepted Risk</t>
        </is>
      </c>
      <c r="C9" s="37" t="inlineStr">
        <is>
          <t>1. Select a CVE on an asset
2. Click 'Accept Risk'
3. Add justification
4. Save</t>
        </is>
      </c>
      <c r="D9" s="37" t="inlineStr">
        <is>
          <t>CVE marked as Accepted Risk. Suppressed from active findings. Permanent.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VULN-05</t>
        </is>
      </c>
      <c r="B10" s="30" t="inlineStr">
        <is>
          <t>Mark as False Positive</t>
        </is>
      </c>
      <c r="C10" s="31" t="inlineStr">
        <is>
          <t>1. Select a CVE
2. Click 'False Positive'
3. Add reason
4. Save</t>
        </is>
      </c>
      <c r="D10" s="31" t="inlineStr">
        <is>
          <t>CVE suppressed from active findings. Permanent flag. Not re-opened on rescan.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VULN-06</t>
        </is>
      </c>
      <c r="B11" s="36" t="inlineStr">
        <is>
          <t>Mark as Resolved</t>
        </is>
      </c>
      <c r="C11" s="37" t="inlineStr">
        <is>
          <t>1. Apply a patch to a test asset
2. Rescan
3. Check CVE status</t>
        </is>
      </c>
      <c r="D11" s="37" t="inlineStr">
        <is>
          <t>CVE moves to Resolved. If patch removed and rescanned, CVE re-opens.</t>
        </is>
      </c>
      <c r="E11" s="32" t="inlineStr">
        <is>
          <t>Pending</t>
        </is>
      </c>
      <c r="F11" s="38" t="inlineStr"/>
      <c r="G11" s="37" t="inlineStr"/>
      <c r="H11" s="34" t="inlineStr">
        <is>
          <t>High</t>
        </is>
      </c>
    </row>
    <row r="12" ht="52" customHeight="1">
      <c r="A12" s="29" t="inlineStr">
        <is>
          <t>VULN-07</t>
        </is>
      </c>
      <c r="B12" s="30" t="inlineStr">
        <is>
          <t>Vulnerability Dashboard Summary</t>
        </is>
      </c>
      <c r="C12" s="31" t="inlineStr">
        <is>
          <t>1. Go to Vulnerability Dashboard
2. Check summary counts</t>
        </is>
      </c>
      <c r="D12" s="31" t="inlineStr">
        <is>
          <t>Counts for Critical/High/Medium/Low match total CVEs across all assets.</t>
        </is>
      </c>
      <c r="E12" s="32" t="inlineStr">
        <is>
          <t>Pending</t>
        </is>
      </c>
      <c r="F12" s="33" t="inlineStr"/>
      <c r="G12" s="31" t="inlineStr"/>
      <c r="H12" s="39" t="inlineStr">
        <is>
          <t>Medium</t>
        </is>
      </c>
    </row>
    <row r="13" ht="52" customHeight="1">
      <c r="A13" s="35" t="inlineStr">
        <is>
          <t>VULN-08</t>
        </is>
      </c>
      <c r="B13" s="36" t="inlineStr">
        <is>
          <t>Patch Compliance Dashboard</t>
        </is>
      </c>
      <c r="C13" s="37" t="inlineStr">
        <is>
          <t>1. Navigate to Patch Tracker
2. Check missing patches list</t>
        </is>
      </c>
      <c r="D13" s="37" t="inlineStr">
        <is>
          <t>Missing patches listed by asset. Percentage compliance score shown.</t>
        </is>
      </c>
      <c r="E13" s="32" t="inlineStr">
        <is>
          <t>Pending</t>
        </is>
      </c>
      <c r="F13" s="38" t="inlineStr"/>
      <c r="G13" s="37" t="inlineStr"/>
      <c r="H13" s="34" t="inlineStr">
        <is>
          <t>High</t>
        </is>
      </c>
    </row>
    <row r="14" ht="52" customHeight="1">
      <c r="A14" s="29" t="inlineStr">
        <is>
          <t>VULN-09</t>
        </is>
      </c>
      <c r="B14" s="30" t="inlineStr">
        <is>
          <t>Vulnerability Scan as Immutable Snapshot</t>
        </is>
      </c>
      <c r="C14" s="31" t="inlineStr">
        <is>
          <t>1. Run scan
2. Note CVE count
3. Run second scan
4. Verify both snapshots retained</t>
        </is>
      </c>
      <c r="D14" s="31" t="inlineStr">
        <is>
          <t>Each scan stored as a separate immutable snapshot. No upsert. Both visible.</t>
        </is>
      </c>
      <c r="E14" s="32" t="inlineStr">
        <is>
          <t>Pending</t>
        </is>
      </c>
      <c r="F14" s="33" t="inlineStr"/>
      <c r="G14" s="31" t="inlineStr"/>
      <c r="H14" s="34" t="inlineStr">
        <is>
          <t>High</t>
        </is>
      </c>
    </row>
    <row r="15" ht="28" customHeight="1">
      <c r="A15" s="40" t="inlineStr">
        <is>
          <t>💡  HOW TO USE:  Select STATUS dropdown → choose Passed / Failed / Skipped.  For Failed tests, describe the exact error in the TESTER NOTES column.  Date format: DD/MM/YYYY</t>
        </is>
      </c>
      <c r="B15" s="41" t="n"/>
      <c r="C15" s="41" t="n"/>
      <c r="D15" s="41" t="n"/>
      <c r="E15" s="41" t="n"/>
      <c r="F15" s="41" t="n"/>
      <c r="G15" s="41" t="n"/>
      <c r="H15" s="42" t="n"/>
    </row>
  </sheetData>
  <mergeCells count="3">
    <mergeCell ref="A3:H3"/>
    <mergeCell ref="A2:H2"/>
    <mergeCell ref="A15:H15"/>
  </mergeCells>
  <dataValidations count="1">
    <dataValidation sqref="E6 E7 E8 E9 E10 E11 E12 E13 E14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06 – Credential / Secret Leak Detection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SEC-01</t>
        </is>
      </c>
      <c r="B6" s="30" t="inlineStr">
        <is>
          <t>Secret Scan UI Initiates</t>
        </is>
      </c>
      <c r="C6" s="31" t="inlineStr">
        <is>
          <t>1. Navigate to Secret/Credential Detection
2. Click Run Scan</t>
        </is>
      </c>
      <c r="D6" s="31" t="inlineStr">
        <is>
          <t>Scan starts. Progress shown.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SEC-02</t>
        </is>
      </c>
      <c r="B7" s="36" t="inlineStr">
        <is>
          <t>API Key Pattern Detection</t>
        </is>
      </c>
      <c r="C7" s="37" t="inlineStr">
        <is>
          <t>1. Place a dummy AWS key format string in a test file
2. Run scan</t>
        </is>
      </c>
      <c r="D7" s="37" t="inlineStr">
        <is>
          <t>AWS key detected. Shown in results with file path, line, entropy score.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SEC-03</t>
        </is>
      </c>
      <c r="B8" s="30" t="inlineStr">
        <is>
          <t>SecretScore ML Confidence Score</t>
        </is>
      </c>
      <c r="C8" s="31" t="inlineStr">
        <is>
          <t>1. View scan results
2. Check each finding for confidence score</t>
        </is>
      </c>
      <c r="D8" s="31" t="inlineStr">
        <is>
          <t>Each finding shows a SecretScore (0–100). High entropy = High score.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SEC-04</t>
        </is>
      </c>
      <c r="B9" s="36" t="inlineStr">
        <is>
          <t>False Positive Reduction</t>
        </is>
      </c>
      <c r="C9" s="37" t="inlineStr">
        <is>
          <t>1. Scan a file with a commented-out/example API key
2. Check score</t>
        </is>
      </c>
      <c r="D9" s="37" t="inlineStr">
        <is>
          <t>Commented/example keys score lower than real credentials (≤50%).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SEC-05</t>
        </is>
      </c>
      <c r="B10" s="30" t="inlineStr">
        <is>
          <t>Dark Web Match Flag</t>
        </is>
      </c>
      <c r="C10" s="31" t="inlineStr">
        <is>
          <t>1. If a found secret matches a dark web record
2. Check flag in results</t>
        </is>
      </c>
      <c r="D10" s="31" t="inlineStr">
        <is>
          <t>Finding flagged with 'Dark Web Match' indicator and source reference.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52" customHeight="1">
      <c r="A11" s="35" t="inlineStr">
        <is>
          <t>SEC-06</t>
        </is>
      </c>
      <c r="B11" s="36" t="inlineStr">
        <is>
          <t>Secret Finding Suppression</t>
        </is>
      </c>
      <c r="C11" s="37" t="inlineStr">
        <is>
          <t>1. Mark a finding as False Positive
2. Re-run scan</t>
        </is>
      </c>
      <c r="D11" s="37" t="inlineStr">
        <is>
          <t>Suppressed finding does not reappear in new scan results.</t>
        </is>
      </c>
      <c r="E11" s="32" t="inlineStr">
        <is>
          <t>Pending</t>
        </is>
      </c>
      <c r="F11" s="38" t="inlineStr"/>
      <c r="G11" s="37" t="inlineStr"/>
      <c r="H11" s="34" t="inlineStr">
        <is>
          <t>High</t>
        </is>
      </c>
    </row>
    <row r="12" ht="52" customHeight="1">
      <c r="A12" s="29" t="inlineStr">
        <is>
          <t>SEC-07</t>
        </is>
      </c>
      <c r="B12" s="30" t="inlineStr">
        <is>
          <t>23-Feature Logistic Regression (SecretScore)</t>
        </is>
      </c>
      <c r="C12" s="31" t="inlineStr">
        <is>
          <t>1. Review the feature breakdown on a finding
2. Check features used</t>
        </is>
      </c>
      <c r="D12" s="31" t="inlineStr">
        <is>
          <t>Features visible: entropy, file type, context, proximity to API calls etc.</t>
        </is>
      </c>
      <c r="E12" s="32" t="inlineStr">
        <is>
          <t>Pending</t>
        </is>
      </c>
      <c r="F12" s="33" t="inlineStr"/>
      <c r="G12" s="31" t="inlineStr"/>
      <c r="H12" s="39" t="inlineStr">
        <is>
          <t>Medium</t>
        </is>
      </c>
    </row>
    <row r="13" ht="52" customHeight="1">
      <c r="A13" s="35" t="inlineStr">
        <is>
          <t>SEC-08</t>
        </is>
      </c>
      <c r="B13" s="36" t="inlineStr">
        <is>
          <t>GitHub Repository Scan</t>
        </is>
      </c>
      <c r="C13" s="37" t="inlineStr">
        <is>
          <t>1. Connect a GitHub repo
2. Run secret scan on repo</t>
        </is>
      </c>
      <c r="D13" s="37" t="inlineStr">
        <is>
          <t>Repo scanned. Secrets in commit history and current code detected.</t>
        </is>
      </c>
      <c r="E13" s="32" t="inlineStr">
        <is>
          <t>Pending</t>
        </is>
      </c>
      <c r="F13" s="38" t="inlineStr"/>
      <c r="G13" s="37" t="inlineStr"/>
      <c r="H13" s="39" t="inlineStr">
        <is>
          <t>Medium</t>
        </is>
      </c>
    </row>
    <row r="14" ht="28" customHeight="1">
      <c r="A14" s="40" t="inlineStr">
        <is>
          <t>💡  HOW TO USE:  Select STATUS dropdown → choose Passed / Failed / Skipped.  For Failed tests, describe the exact error in the TESTER NOTES column.  Date format: DD/MM/YYYY</t>
        </is>
      </c>
      <c r="B14" s="41" t="n"/>
      <c r="C14" s="41" t="n"/>
      <c r="D14" s="41" t="n"/>
      <c r="E14" s="41" t="n"/>
      <c r="F14" s="41" t="n"/>
      <c r="G14" s="41" t="n"/>
      <c r="H14" s="42" t="n"/>
    </row>
  </sheetData>
  <mergeCells count="3">
    <mergeCell ref="A3:H3"/>
    <mergeCell ref="A2:H2"/>
    <mergeCell ref="A14:H14"/>
  </mergeCells>
  <dataValidations count="1">
    <dataValidation sqref="E6 E7 E8 E9 E10 E11 E12 E13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07 – Dark Web Exposure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DW-01</t>
        </is>
      </c>
      <c r="B6" s="30" t="inlineStr">
        <is>
          <t>Dark Web Module Loads</t>
        </is>
      </c>
      <c r="C6" s="31" t="inlineStr">
        <is>
          <t>1. Navigate to Dark Web Exposure module
2. Check page loads</t>
        </is>
      </c>
      <c r="D6" s="31" t="inlineStr">
        <is>
          <t>Module page loads. No errors. Status shows last scan time.</t>
        </is>
      </c>
      <c r="E6" s="32" t="inlineStr">
        <is>
          <t>Pending</t>
        </is>
      </c>
      <c r="F6" s="33" t="inlineStr"/>
      <c r="G6" s="31" t="inlineStr"/>
      <c r="H6" s="39" t="inlineStr">
        <is>
          <t>Medium</t>
        </is>
      </c>
    </row>
    <row r="7" ht="52" customHeight="1">
      <c r="A7" s="35" t="inlineStr">
        <is>
          <t>DW-02</t>
        </is>
      </c>
      <c r="B7" s="36" t="inlineStr">
        <is>
          <t>Domain Exposure Check</t>
        </is>
      </c>
      <c r="C7" s="37" t="inlineStr">
        <is>
          <t>1. Enter company domain
2. Run exposure check</t>
        </is>
      </c>
      <c r="D7" s="37" t="inlineStr">
        <is>
          <t>Results show any exposed credentials matching the domain on dark web sources.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DW-03</t>
        </is>
      </c>
      <c r="B8" s="30" t="inlineStr">
        <is>
          <t>Email Exposure Check</t>
        </is>
      </c>
      <c r="C8" s="31" t="inlineStr">
        <is>
          <t>1. Enter a business email
2. Run check</t>
        </is>
      </c>
      <c r="D8" s="31" t="inlineStr">
        <is>
          <t>Any breached records for that email shown with breach source name and date.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DW-04</t>
        </is>
      </c>
      <c r="B9" s="36" t="inlineStr">
        <is>
          <t>Exposure Alert Trigger</t>
        </is>
      </c>
      <c r="C9" s="37" t="inlineStr">
        <is>
          <t>1. Confirm an email that has known breach data
2. Check alerts</t>
        </is>
      </c>
      <c r="D9" s="37" t="inlineStr">
        <is>
          <t>Alert triggered in Notifications for the exposed email.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DW-05</t>
        </is>
      </c>
      <c r="B10" s="30" t="inlineStr">
        <is>
          <t>Historical Exposure Records</t>
        </is>
      </c>
      <c r="C10" s="31" t="inlineStr">
        <is>
          <t>1. Run two checks over time
2. View history</t>
        </is>
      </c>
      <c r="D10" s="31" t="inlineStr">
        <is>
          <t>Both check results stored with timestamps. Trend visible.</t>
        </is>
      </c>
      <c r="E10" s="32" t="inlineStr">
        <is>
          <t>Pending</t>
        </is>
      </c>
      <c r="F10" s="33" t="inlineStr"/>
      <c r="G10" s="31" t="inlineStr"/>
      <c r="H10" s="43" t="inlineStr">
        <is>
          <t>Low</t>
        </is>
      </c>
    </row>
    <row r="11" ht="28" customHeight="1">
      <c r="A11" s="40" t="inlineStr">
        <is>
          <t>💡  HOW TO USE:  Select STATUS dropdown → choose Passed / Failed / Skipped.  For Failed tests, describe the exact error in the TESTER NOTES column.  Date format: DD/MM/YYYY</t>
        </is>
      </c>
      <c r="B11" s="41" t="n"/>
      <c r="C11" s="41" t="n"/>
      <c r="D11" s="41" t="n"/>
      <c r="E11" s="41" t="n"/>
      <c r="F11" s="41" t="n"/>
      <c r="G11" s="41" t="n"/>
      <c r="H11" s="42" t="n"/>
    </row>
  </sheetData>
  <mergeCells count="3">
    <mergeCell ref="A11:H11"/>
    <mergeCell ref="A3:H3"/>
    <mergeCell ref="A2:H2"/>
  </mergeCells>
  <dataValidations count="1">
    <dataValidation sqref="E6 E7 E8 E9 E10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H1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08 – Cyber Essentials v3.2 Compliance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CE-01</t>
        </is>
      </c>
      <c r="B6" s="30" t="inlineStr">
        <is>
          <t>CE v3.2 Dashboard Loads</t>
        </is>
      </c>
      <c r="C6" s="31" t="inlineStr">
        <is>
          <t>1. Navigate to Cyber Essentials module
2. Check control status summary</t>
        </is>
      </c>
      <c r="D6" s="31" t="inlineStr">
        <is>
          <t>Dashboard shows all CE controls (A1–A8) with pass/partial/fail status.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CE-02</t>
        </is>
      </c>
      <c r="B7" s="36" t="inlineStr">
        <is>
          <t>A1 Asset Register – Auto-Populated</t>
        </is>
      </c>
      <c r="C7" s="37" t="inlineStr">
        <is>
          <t>1. After running asset discovery
2. Check CE A1 control</t>
        </is>
      </c>
      <c r="D7" s="37" t="inlineStr">
        <is>
          <t>Asset register automatically populated from discovered assets.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CE-03</t>
        </is>
      </c>
      <c r="B8" s="30" t="inlineStr">
        <is>
          <t>A2 User Access Control</t>
        </is>
      </c>
      <c r="C8" s="31" t="inlineStr">
        <is>
          <t>1. Run identity scan
2. Check CE A2 control</t>
        </is>
      </c>
      <c r="D8" s="31" t="inlineStr">
        <is>
          <t>User list with admin accounts identified. Permissions matrix visible.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CE-04</t>
        </is>
      </c>
      <c r="B9" s="36" t="inlineStr">
        <is>
          <t>A3 Secure Configuration Check</t>
        </is>
      </c>
      <c r="C9" s="37" t="inlineStr">
        <is>
          <t>1. Run configuration audit on an asset
2. Check CE A3 status</t>
        </is>
      </c>
      <c r="D9" s="37" t="inlineStr">
        <is>
          <t>Baseline comparison report generated. Deviations flagged.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CE-05</t>
        </is>
      </c>
      <c r="B10" s="30" t="inlineStr">
        <is>
          <t>A4 Vulnerability Management</t>
        </is>
      </c>
      <c r="C10" s="31" t="inlineStr">
        <is>
          <t>1. Ensure vulnerability scan is complete
2. Check CE A4 status</t>
        </is>
      </c>
      <c r="D10" s="31" t="inlineStr">
        <is>
          <t>Scan report auto-mapped to CE A4. Patch status shown.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CE-06</t>
        </is>
      </c>
      <c r="B11" s="36" t="inlineStr">
        <is>
          <t>A5 Patch Management</t>
        </is>
      </c>
      <c r="C11" s="37" t="inlineStr">
        <is>
          <t>1. Check patch compliance dashboard
2. Review CE A5 status</t>
        </is>
      </c>
      <c r="D11" s="37" t="inlineStr">
        <is>
          <t>Missing patches listed. Patch compliance % shown for CE A5.</t>
        </is>
      </c>
      <c r="E11" s="32" t="inlineStr">
        <is>
          <t>Pending</t>
        </is>
      </c>
      <c r="F11" s="38" t="inlineStr"/>
      <c r="G11" s="37" t="inlineStr"/>
      <c r="H11" s="34" t="inlineStr">
        <is>
          <t>High</t>
        </is>
      </c>
    </row>
    <row r="12" ht="52" customHeight="1">
      <c r="A12" s="29" t="inlineStr">
        <is>
          <t>CE-07</t>
        </is>
      </c>
      <c r="B12" s="30" t="inlineStr">
        <is>
          <t>Evidence Package Generation</t>
        </is>
      </c>
      <c r="C12" s="31" t="inlineStr">
        <is>
          <t>1. Click 'Generate CE Evidence Package'
2. Download PDF</t>
        </is>
      </c>
      <c r="D12" s="31" t="inlineStr">
        <is>
          <t>PDF generated with all CE controls, evidence, asset data, and timestamps.</t>
        </is>
      </c>
      <c r="E12" s="32" t="inlineStr">
        <is>
          <t>Pending</t>
        </is>
      </c>
      <c r="F12" s="33" t="inlineStr"/>
      <c r="G12" s="31" t="inlineStr"/>
      <c r="H12" s="34" t="inlineStr">
        <is>
          <t>High</t>
        </is>
      </c>
    </row>
    <row r="13" ht="52" customHeight="1">
      <c r="A13" s="35" t="inlineStr">
        <is>
          <t>CE-08</t>
        </is>
      </c>
      <c r="B13" s="36" t="inlineStr">
        <is>
          <t>Non-Compliant Asset Remediation Guidance</t>
        </is>
      </c>
      <c r="C13" s="37" t="inlineStr">
        <is>
          <t>1. Find a non-compliant asset in CE view
2. Click on it</t>
        </is>
      </c>
      <c r="D13" s="37" t="inlineStr">
        <is>
          <t>Remediation steps shown for the specific non-compliance.</t>
        </is>
      </c>
      <c r="E13" s="32" t="inlineStr">
        <is>
          <t>Pending</t>
        </is>
      </c>
      <c r="F13" s="38" t="inlineStr"/>
      <c r="G13" s="37" t="inlineStr"/>
      <c r="H13" s="39" t="inlineStr">
        <is>
          <t>Medium</t>
        </is>
      </c>
    </row>
    <row r="14" ht="52" customHeight="1">
      <c r="A14" s="29" t="inlineStr">
        <is>
          <t>CE-09</t>
        </is>
      </c>
      <c r="B14" s="30" t="inlineStr">
        <is>
          <t>CE Readiness Score</t>
        </is>
      </c>
      <c r="C14" s="31" t="inlineStr">
        <is>
          <t>1. View CE dashboard
2. Check overall readiness score</t>
        </is>
      </c>
      <c r="D14" s="31" t="inlineStr">
        <is>
          <t>Score (%) shows percentage of CE controls passing. Updates live.</t>
        </is>
      </c>
      <c r="E14" s="32" t="inlineStr">
        <is>
          <t>Pending</t>
        </is>
      </c>
      <c r="F14" s="33" t="inlineStr"/>
      <c r="G14" s="31" t="inlineStr"/>
      <c r="H14" s="39" t="inlineStr">
        <is>
          <t>Medium</t>
        </is>
      </c>
    </row>
    <row r="15" ht="28" customHeight="1">
      <c r="A15" s="40" t="inlineStr">
        <is>
          <t>💡  HOW TO USE:  Select STATUS dropdown → choose Passed / Failed / Skipped.  For Failed tests, describe the exact error in the TESTER NOTES column.  Date format: DD/MM/YYYY</t>
        </is>
      </c>
      <c r="B15" s="41" t="n"/>
      <c r="C15" s="41" t="n"/>
      <c r="D15" s="41" t="n"/>
      <c r="E15" s="41" t="n"/>
      <c r="F15" s="41" t="n"/>
      <c r="G15" s="41" t="n"/>
      <c r="H15" s="42" t="n"/>
    </row>
  </sheetData>
  <mergeCells count="3">
    <mergeCell ref="A3:H3"/>
    <mergeCell ref="A2:H2"/>
    <mergeCell ref="A15:H15"/>
  </mergeCells>
  <dataValidations count="1">
    <dataValidation sqref="E6 E7 E8 E9 E10 E11 E12 E13 E14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09 – AI Security Intelligence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AI-01</t>
        </is>
      </c>
      <c r="B6" s="30" t="inlineStr">
        <is>
          <t>AI Security Intelligence Module Loads</t>
        </is>
      </c>
      <c r="C6" s="31" t="inlineStr">
        <is>
          <t>1. Navigate to AI Security Intelligence
2. Check page loads</t>
        </is>
      </c>
      <c r="D6" s="31" t="inlineStr">
        <is>
          <t>Module loads without errors. AI provider shown (Groq/Gemini/Anthropic/OpenAI).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AI-02</t>
        </is>
      </c>
      <c r="B7" s="36" t="inlineStr">
        <is>
          <t>AI Threat Summary for Asset</t>
        </is>
      </c>
      <c r="C7" s="37" t="inlineStr">
        <is>
          <t>1. Open an asset with CVEs
2. Request AI threat summary</t>
        </is>
      </c>
      <c r="D7" s="37" t="inlineStr">
        <is>
          <t>AI generates a natural-language threat summary for the asset.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AI-03</t>
        </is>
      </c>
      <c r="B8" s="30" t="inlineStr">
        <is>
          <t>AI Fallback Chain (Groq → Gemini → Anthropic → OpenAI)</t>
        </is>
      </c>
      <c r="C8" s="31" t="inlineStr">
        <is>
          <t>1. Disable Groq API key
2. Trigger AI query
3. Verify fallback provider used</t>
        </is>
      </c>
      <c r="D8" s="31" t="inlineStr">
        <is>
          <t>AI query answered by next provider in chain. No error shown to user.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AI-04</t>
        </is>
      </c>
      <c r="B9" s="36" t="inlineStr">
        <is>
          <t>Natural Language Asset Query</t>
        </is>
      </c>
      <c r="C9" s="37" t="inlineStr">
        <is>
          <t>1. Type 'Show me all Windows assets with Critical CVEs'
2. Submit</t>
        </is>
      </c>
      <c r="D9" s="37" t="inlineStr">
        <is>
          <t>Correct filtered asset list returned based on natural language query.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AI-05</t>
        </is>
      </c>
      <c r="B10" s="30" t="inlineStr">
        <is>
          <t>AI Remediation Recommendations</t>
        </is>
      </c>
      <c r="C10" s="31" t="inlineStr">
        <is>
          <t>1. Select a Critical CVE
2. Request AI remediation advice</t>
        </is>
      </c>
      <c r="D10" s="31" t="inlineStr">
        <is>
          <t>AI provides specific, actionable remediation steps for that CVE.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AI-06</t>
        </is>
      </c>
      <c r="B11" s="36" t="inlineStr">
        <is>
          <t>AI Dark Web Insight</t>
        </is>
      </c>
      <c r="C11" s="37" t="inlineStr">
        <is>
          <t>1. View a dark web exposure finding
2. Request AI analysis</t>
        </is>
      </c>
      <c r="D11" s="37" t="inlineStr">
        <is>
          <t>AI explains the exposure context, likely impact, and recommended actions.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28" customHeight="1">
      <c r="A12" s="40" t="inlineStr">
        <is>
          <t>💡  HOW TO USE:  Select STATUS dropdown → choose Passed / Failed / Skipped.  For Failed tests, describe the exact error in the TESTER NOTES column.  Date format: DD/MM/YYYY</t>
        </is>
      </c>
      <c r="B12" s="41" t="n"/>
      <c r="C12" s="41" t="n"/>
      <c r="D12" s="41" t="n"/>
      <c r="E12" s="41" t="n"/>
      <c r="F12" s="41" t="n"/>
      <c r="G12" s="41" t="n"/>
      <c r="H12" s="42" t="n"/>
    </row>
  </sheetData>
  <mergeCells count="3">
    <mergeCell ref="A12:H12"/>
    <mergeCell ref="A3:H3"/>
    <mergeCell ref="A2:H2"/>
  </mergeCells>
  <dataValidations count="1">
    <dataValidation sqref="E6 E7 E8 E9 E10 E11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10 – SIEM &amp; EDR Integrations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INT-01</t>
        </is>
      </c>
      <c r="B6" s="30" t="inlineStr">
        <is>
          <t>Sentinel Integration Connect</t>
        </is>
      </c>
      <c r="C6" s="31" t="inlineStr">
        <is>
          <t>1. Navigate to Integrations → SIEM → Sentinel
2. Enter credentials
3. Save &amp; Test</t>
        </is>
      </c>
      <c r="D6" s="31" t="inlineStr">
        <is>
          <t>Connection successful. Green status badge shown.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INT-02</t>
        </is>
      </c>
      <c r="B7" s="36" t="inlineStr">
        <is>
          <t>Splunk Integration Connect</t>
        </is>
      </c>
      <c r="C7" s="37" t="inlineStr">
        <is>
          <t>1. Navigate to Integrations → SIEM → Splunk
2. Enter HEC URL &amp; token
3. Test</t>
        </is>
      </c>
      <c r="D7" s="37" t="inlineStr">
        <is>
          <t>Events forwarded to Splunk. Test event visible in Splunk.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INT-03</t>
        </is>
      </c>
      <c r="B8" s="30" t="inlineStr">
        <is>
          <t>CrowdStrike EDR Connect</t>
        </is>
      </c>
      <c r="C8" s="31" t="inlineStr">
        <is>
          <t>1. Navigate to Integrations → EDR → CrowdStrike
2. Enter API credentials
3. Test</t>
        </is>
      </c>
      <c r="D8" s="31" t="inlineStr">
        <is>
          <t>Connection established. EDR asset data synced.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INT-04</t>
        </is>
      </c>
      <c r="B9" s="36" t="inlineStr">
        <is>
          <t>Microsoft Defender Connect</t>
        </is>
      </c>
      <c r="C9" s="37" t="inlineStr">
        <is>
          <t>1. Navigate to Integrations → EDR → Defender
2. Enter tenant/app credentials
3. Test</t>
        </is>
      </c>
      <c r="D9" s="37" t="inlineStr">
        <is>
          <t>Defender alerts visible in CyberAssetIQ findings.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INT-05</t>
        </is>
      </c>
      <c r="B10" s="30" t="inlineStr">
        <is>
          <t>Dispatcher Routes Events</t>
        </is>
      </c>
      <c r="C10" s="31" t="inlineStr">
        <is>
          <t>1. Trigger a security event (e.g. critical CVE found)
2. Check all active integrations</t>
        </is>
      </c>
      <c r="D10" s="31" t="inlineStr">
        <is>
          <t>Event dispatched to all connected integrations simultaneously.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INT-06</t>
        </is>
      </c>
      <c r="B11" s="36" t="inlineStr">
        <is>
          <t>Integration Health Dashboard</t>
        </is>
      </c>
      <c r="C11" s="37" t="inlineStr">
        <is>
          <t>1. Navigate to Integrations overview
2. Check health status</t>
        </is>
      </c>
      <c r="D11" s="37" t="inlineStr">
        <is>
          <t>All integrations show: status, last sync time, event count.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28" customHeight="1">
      <c r="A12" s="40" t="inlineStr">
        <is>
          <t>💡  HOW TO USE:  Select STATUS dropdown → choose Passed / Failed / Skipped.  For Failed tests, describe the exact error in the TESTER NOTES column.  Date format: DD/MM/YYYY</t>
        </is>
      </c>
      <c r="B12" s="41" t="n"/>
      <c r="C12" s="41" t="n"/>
      <c r="D12" s="41" t="n"/>
      <c r="E12" s="41" t="n"/>
      <c r="F12" s="41" t="n"/>
      <c r="G12" s="41" t="n"/>
      <c r="H12" s="42" t="n"/>
    </row>
  </sheetData>
  <mergeCells count="3">
    <mergeCell ref="A12:H12"/>
    <mergeCell ref="A3:H3"/>
    <mergeCell ref="A2:H2"/>
  </mergeCells>
  <dataValidations count="1">
    <dataValidation sqref="E6 E7 E8 E9 E10 E11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H1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11 – IAM Integrations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IAM-01</t>
        </is>
      </c>
      <c r="B6" s="30" t="inlineStr">
        <is>
          <t>Entra ID (Azure AD) Connect</t>
        </is>
      </c>
      <c r="C6" s="31" t="inlineStr">
        <is>
          <t>1. Navigate to Integrations → IAM → Entra ID
2. Enter tenant ID, client ID, secret
3. Test</t>
        </is>
      </c>
      <c r="D6" s="31" t="inlineStr">
        <is>
          <t>Connection successful. User list synced from Entra.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IAM-02</t>
        </is>
      </c>
      <c r="B7" s="36" t="inlineStr">
        <is>
          <t>Okta Connect</t>
        </is>
      </c>
      <c r="C7" s="37" t="inlineStr">
        <is>
          <t>1. Navigate to Integrations → IAM → Okta
2. Enter domain &amp; API token
3. Test</t>
        </is>
      </c>
      <c r="D7" s="37" t="inlineStr">
        <is>
          <t>Connection successful. Okta user/group data synced.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IAM-03</t>
        </is>
      </c>
      <c r="B8" s="30" t="inlineStr">
        <is>
          <t>Privileged Account Detection</t>
        </is>
      </c>
      <c r="C8" s="31" t="inlineStr">
        <is>
          <t>1. After IAM sync
2. Check Identity Scanner results</t>
        </is>
      </c>
      <c r="D8" s="31" t="inlineStr">
        <is>
          <t>Admin/privileged accounts flagged. List matches actual Entra/Okta admin list.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IAM-04</t>
        </is>
      </c>
      <c r="B9" s="36" t="inlineStr">
        <is>
          <t>Stale Account Detection</t>
        </is>
      </c>
      <c r="C9" s="37" t="inlineStr">
        <is>
          <t>1. In IAM sync results
2. Check for accounts with no recent login</t>
        </is>
      </c>
      <c r="D9" s="37" t="inlineStr">
        <is>
          <t>Accounts inactive &gt;90 days flagged as stale.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28" customHeight="1">
      <c r="A10" s="40" t="inlineStr">
        <is>
          <t>💡  HOW TO USE:  Select STATUS dropdown → choose Passed / Failed / Skipped.  For Failed tests, describe the exact error in the TESTER NOTES column.  Date format: DD/MM/YYYY</t>
        </is>
      </c>
      <c r="B10" s="41" t="n"/>
      <c r="C10" s="41" t="n"/>
      <c r="D10" s="41" t="n"/>
      <c r="E10" s="41" t="n"/>
      <c r="F10" s="41" t="n"/>
      <c r="G10" s="41" t="n"/>
      <c r="H10" s="42" t="n"/>
    </row>
  </sheetData>
  <mergeCells count="3">
    <mergeCell ref="A3:H3"/>
    <mergeCell ref="A2:H2"/>
    <mergeCell ref="A10:H10"/>
  </mergeCells>
  <dataValidations count="1">
    <dataValidation sqref="E6 E7 E8 E9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12 – ITSM &amp; MSP Integrations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ITSM-01</t>
        </is>
      </c>
      <c r="B6" s="30" t="inlineStr">
        <is>
          <t>Jira Integration – Create Ticket</t>
        </is>
      </c>
      <c r="C6" s="31" t="inlineStr">
        <is>
          <t>1. Navigate to Integrations → ITSM → Jira
2. Configure project key
3. Trigger a High CVE finding
4. Click 'Create Ticket'</t>
        </is>
      </c>
      <c r="D6" s="31" t="inlineStr">
        <is>
          <t>Jira ticket created with CVE details, asset name, severity, link back to finding.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ITSM-02</t>
        </is>
      </c>
      <c r="B7" s="36" t="inlineStr">
        <is>
          <t>ServiceNow Integration</t>
        </is>
      </c>
      <c r="C7" s="37" t="inlineStr">
        <is>
          <t>1. Navigate to Integrations → ITSM → ServiceNow
2. Enter instance URL &amp; credentials
3. Test</t>
        </is>
      </c>
      <c r="D7" s="37" t="inlineStr">
        <is>
          <t>Connection successful. Incident can be created from findings.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ITSM-03</t>
        </is>
      </c>
      <c r="B8" s="30" t="inlineStr">
        <is>
          <t>ConnectWise (MSP) Integration</t>
        </is>
      </c>
      <c r="C8" s="31" t="inlineStr">
        <is>
          <t>1. Navigate to Integrations → MSP → ConnectWise
2. Enter credentials
3. Test</t>
        </is>
      </c>
      <c r="D8" s="31" t="inlineStr">
        <is>
          <t>Assets from ConnectWise synced. Tickets can be raised.</t>
        </is>
      </c>
      <c r="E8" s="32" t="inlineStr">
        <is>
          <t>Pending</t>
        </is>
      </c>
      <c r="F8" s="33" t="inlineStr"/>
      <c r="G8" s="31" t="inlineStr"/>
      <c r="H8" s="39" t="inlineStr">
        <is>
          <t>Medium</t>
        </is>
      </c>
    </row>
    <row r="9" ht="52" customHeight="1">
      <c r="A9" s="35" t="inlineStr">
        <is>
          <t>ITSM-04</t>
        </is>
      </c>
      <c r="B9" s="36" t="inlineStr">
        <is>
          <t>Datto (MSP) Integration</t>
        </is>
      </c>
      <c r="C9" s="37" t="inlineStr">
        <is>
          <t>1. Navigate to Integrations → MSP → Datto
2. Enter API key
3. Test</t>
        </is>
      </c>
      <c r="D9" s="37" t="inlineStr">
        <is>
          <t>Datto endpoints sync to CyberAssetIQ asset inventory.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ITSM-05</t>
        </is>
      </c>
      <c r="B10" s="30" t="inlineStr">
        <is>
          <t>ITSM Ticket Status Sync</t>
        </is>
      </c>
      <c r="C10" s="31" t="inlineStr">
        <is>
          <t>1. Create a ticket from a finding
2. Resolve it in Jira/ServiceNow
3. Check finding status</t>
        </is>
      </c>
      <c r="D10" s="31" t="inlineStr">
        <is>
          <t>Finding status updated in CyberAssetIQ when ticket resolved.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28" customHeight="1">
      <c r="A11" s="40" t="inlineStr">
        <is>
          <t>💡  HOW TO USE:  Select STATUS dropdown → choose Passed / Failed / Skipped.  For Failed tests, describe the exact error in the TESTER NOTES column.  Date format: DD/MM/YYYY</t>
        </is>
      </c>
      <c r="B11" s="41" t="n"/>
      <c r="C11" s="41" t="n"/>
      <c r="D11" s="41" t="n"/>
      <c r="E11" s="41" t="n"/>
      <c r="F11" s="41" t="n"/>
      <c r="G11" s="41" t="n"/>
      <c r="H11" s="42" t="n"/>
    </row>
  </sheetData>
  <mergeCells count="3">
    <mergeCell ref="A11:H11"/>
    <mergeCell ref="A3:H3"/>
    <mergeCell ref="A2:H2"/>
  </mergeCells>
  <dataValidations count="1">
    <dataValidation sqref="E6 E7 E8 E9 E10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13 – Reporting &amp; Evidence Packages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RPT-01</t>
        </is>
      </c>
      <c r="B6" s="30" t="inlineStr">
        <is>
          <t>PDF Report Generation</t>
        </is>
      </c>
      <c r="C6" s="31" t="inlineStr">
        <is>
          <t>1. Navigate to Reports
2. Select 'Full Security Report'
3. Click Generate PDF</t>
        </is>
      </c>
      <c r="D6" s="31" t="inlineStr">
        <is>
          <t>PDF generated with company branding, all modules summarised, date/time stamp.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RPT-02</t>
        </is>
      </c>
      <c r="B7" s="36" t="inlineStr">
        <is>
          <t>CE Evidence Package PDF</t>
        </is>
      </c>
      <c r="C7" s="37" t="inlineStr">
        <is>
          <t>1. Navigate to CE module
2. Click 'Generate Evidence Package'
3. Download</t>
        </is>
      </c>
      <c r="D7" s="37" t="inlineStr">
        <is>
          <t>PDF contains: asset register, CE control status, evidence for each control.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RPT-03</t>
        </is>
      </c>
      <c r="B8" s="30" t="inlineStr">
        <is>
          <t>Executive Summary Report</t>
        </is>
      </c>
      <c r="C8" s="31" t="inlineStr">
        <is>
          <t>1. Select Executive Summary report type
2. Generate</t>
        </is>
      </c>
      <c r="D8" s="31" t="inlineStr">
        <is>
          <t>Non-technical 1-2 page summary: risk score, key findings, top risks.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RPT-04</t>
        </is>
      </c>
      <c r="B9" s="36" t="inlineStr">
        <is>
          <t>Vulnerability Report</t>
        </is>
      </c>
      <c r="C9" s="37" t="inlineStr">
        <is>
          <t>1. Select Vulnerability Report
2. Filter by date range
3. Generate</t>
        </is>
      </c>
      <c r="D9" s="37" t="inlineStr">
        <is>
          <t>Report lists all CVEs in date range, sorted by severity.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RPT-05</t>
        </is>
      </c>
      <c r="B10" s="30" t="inlineStr">
        <is>
          <t>Scheduled Reports</t>
        </is>
      </c>
      <c r="C10" s="31" t="inlineStr">
        <is>
          <t>1. Set up a scheduled weekly report
2. Wait or manually trigger</t>
        </is>
      </c>
      <c r="D10" s="31" t="inlineStr">
        <is>
          <t>Report generated on schedule. Delivered to configured email.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52" customHeight="1">
      <c r="A11" s="35" t="inlineStr">
        <is>
          <t>RPT-06</t>
        </is>
      </c>
      <c r="B11" s="36" t="inlineStr">
        <is>
          <t>Report Download (CSV export)</t>
        </is>
      </c>
      <c r="C11" s="37" t="inlineStr">
        <is>
          <t>1. In asset list or vuln list
2. Click Export CSV</t>
        </is>
      </c>
      <c r="D11" s="37" t="inlineStr">
        <is>
          <t>CSV file downloaded with all visible data. Correct column headers.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28" customHeight="1">
      <c r="A12" s="40" t="inlineStr">
        <is>
          <t>💡  HOW TO USE:  Select STATUS dropdown → choose Passed / Failed / Skipped.  For Failed tests, describe the exact error in the TESTER NOTES column.  Date format: DD/MM/YYYY</t>
        </is>
      </c>
      <c r="B12" s="41" t="n"/>
      <c r="C12" s="41" t="n"/>
      <c r="D12" s="41" t="n"/>
      <c r="E12" s="41" t="n"/>
      <c r="F12" s="41" t="n"/>
      <c r="G12" s="41" t="n"/>
      <c r="H12" s="42" t="n"/>
    </row>
  </sheetData>
  <mergeCells count="3">
    <mergeCell ref="A12:H12"/>
    <mergeCell ref="A3:H3"/>
    <mergeCell ref="A2:H2"/>
  </mergeCells>
  <dataValidations count="1">
    <dataValidation sqref="E6 E7 E8 E9 E10 E11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H1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14 – Multi-Tenancy &amp; RBAC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RBAC-01</t>
        </is>
      </c>
      <c r="B6" s="30" t="inlineStr">
        <is>
          <t>Tenant Isolation</t>
        </is>
      </c>
      <c r="C6" s="31" t="inlineStr">
        <is>
          <t>1. Create two tenants
2. Add assets to each
3. Log in as tenant-1 user</t>
        </is>
      </c>
      <c r="D6" s="31" t="inlineStr">
        <is>
          <t>Tenant-1 user sees ONLY tenant-1 assets. No cross-tenant data leakage.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RBAC-02</t>
        </is>
      </c>
      <c r="B7" s="36" t="inlineStr">
        <is>
          <t>Admin vs Read-Only Role</t>
        </is>
      </c>
      <c r="C7" s="37" t="inlineStr">
        <is>
          <t>1. Create a read-only user
2. Log in
3. Attempt to create/delete an asset</t>
        </is>
      </c>
      <c r="D7" s="37" t="inlineStr">
        <is>
          <t>Read-only user cannot create, edit, or delete. All buttons greyed out or 403 returned.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RBAC-03</t>
        </is>
      </c>
      <c r="B8" s="30" t="inlineStr">
        <is>
          <t>API Multi-Tenant Isolation</t>
        </is>
      </c>
      <c r="C8" s="31" t="inlineStr">
        <is>
          <t>1. Use tenant-001 API key
2. Call GET /api/v1/assets
3. Verify no tenant-002 data</t>
        </is>
      </c>
      <c r="D8" s="31" t="inlineStr">
        <is>
          <t>API returns only tenant-001 data. Other tenant records not accessible.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RBAC-04</t>
        </is>
      </c>
      <c r="B9" s="36" t="inlineStr">
        <is>
          <t>New User Invite</t>
        </is>
      </c>
      <c r="C9" s="37" t="inlineStr">
        <is>
          <t>1. Admin invites a new user by email
2. New user receives invite
3. Sets password &amp; logs in</t>
        </is>
      </c>
      <c r="D9" s="37" t="inlineStr">
        <is>
          <t>Invite email received. New user onboarded successfully.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28" customHeight="1">
      <c r="A10" s="40" t="inlineStr">
        <is>
          <t>💡  HOW TO USE:  Select STATUS dropdown → choose Passed / Failed / Skipped.  For Failed tests, describe the exact error in the TESTER NOTES column.  Date format: DD/MM/YYYY</t>
        </is>
      </c>
      <c r="B10" s="41" t="n"/>
      <c r="C10" s="41" t="n"/>
      <c r="D10" s="41" t="n"/>
      <c r="E10" s="41" t="n"/>
      <c r="F10" s="41" t="n"/>
      <c r="G10" s="41" t="n"/>
      <c r="H10" s="42" t="n"/>
    </row>
  </sheetData>
  <mergeCells count="3">
    <mergeCell ref="A3:H3"/>
    <mergeCell ref="A2:H2"/>
    <mergeCell ref="A10:H10"/>
  </mergeCells>
  <dataValidations count="1">
    <dataValidation sqref="E6 E7 E8 E9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15 – Notifications &amp; Alerts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ALERT-01</t>
        </is>
      </c>
      <c r="B6" s="30" t="inlineStr">
        <is>
          <t>Email Alert on Critical CVE</t>
        </is>
      </c>
      <c r="C6" s="31" t="inlineStr">
        <is>
          <t>1. Ensure Gmail SMTP configured
2. Add a Critical CVE to an asset
3. Check email</t>
        </is>
      </c>
      <c r="D6" s="31" t="inlineStr">
        <is>
          <t>Email alert received within 5 minutes with CVE details, asset name, severity.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ALERT-02</t>
        </is>
      </c>
      <c r="B7" s="36" t="inlineStr">
        <is>
          <t>Slack Alert</t>
        </is>
      </c>
      <c r="C7" s="37" t="inlineStr">
        <is>
          <t>1. Configure Slack webhook
2. Trigger a High finding
3. Check Slack channel</t>
        </is>
      </c>
      <c r="D7" s="37" t="inlineStr">
        <is>
          <t>Slack message received with finding summary and link.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ALERT-03</t>
        </is>
      </c>
      <c r="B8" s="30" t="inlineStr">
        <is>
          <t>Dark Web Exposure Alert</t>
        </is>
      </c>
      <c r="C8" s="31" t="inlineStr">
        <is>
          <t>1. Add an email that has a known breach
2. Run check
3. Check notifications</t>
        </is>
      </c>
      <c r="D8" s="31" t="inlineStr">
        <is>
          <t>Alert created in notifications panel for dark web match.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ALERT-04</t>
        </is>
      </c>
      <c r="B9" s="36" t="inlineStr">
        <is>
          <t>Agent Offline Alert</t>
        </is>
      </c>
      <c r="C9" s="37" t="inlineStr">
        <is>
          <t>1. Stop Windows agent
2. Wait for heartbeat timeout
3. Check notifications</t>
        </is>
      </c>
      <c r="D9" s="37" t="inlineStr">
        <is>
          <t>Alert generated: 'Agent offline – [hostname]'. Email/Slack sent if configured.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ALERT-05</t>
        </is>
      </c>
      <c r="B10" s="30" t="inlineStr">
        <is>
          <t>Alert Acknowledge &amp; Dismiss</t>
        </is>
      </c>
      <c r="C10" s="31" t="inlineStr">
        <is>
          <t>1. View an active alert
2. Click Acknowledge
3. Check alert status</t>
        </is>
      </c>
      <c r="D10" s="31" t="inlineStr">
        <is>
          <t>Alert moved to Acknowledged. No longer in active alerts list.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28" customHeight="1">
      <c r="A11" s="40" t="inlineStr">
        <is>
          <t>💡  HOW TO USE:  Select STATUS dropdown → choose Passed / Failed / Skipped.  For Failed tests, describe the exact error in the TESTER NOTES column.  Date format: DD/MM/YYYY</t>
        </is>
      </c>
      <c r="B11" s="41" t="n"/>
      <c r="C11" s="41" t="n"/>
      <c r="D11" s="41" t="n"/>
      <c r="E11" s="41" t="n"/>
      <c r="F11" s="41" t="n"/>
      <c r="G11" s="41" t="n"/>
      <c r="H11" s="42" t="n"/>
    </row>
  </sheetData>
  <mergeCells count="3">
    <mergeCell ref="A11:H11"/>
    <mergeCell ref="A3:H3"/>
    <mergeCell ref="A2:H2"/>
  </mergeCells>
  <dataValidations count="1">
    <dataValidation sqref="E6 E7 E8 E9 E10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16 – API Endpoints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API-01</t>
        </is>
      </c>
      <c r="B6" s="30" t="inlineStr">
        <is>
          <t>GET /api/v1/assets</t>
        </is>
      </c>
      <c r="C6" s="31" t="inlineStr">
        <is>
          <t>1. Call GET /api/v1/assets with admin API key
2. Check response</t>
        </is>
      </c>
      <c r="D6" s="31" t="inlineStr">
        <is>
          <t>200 OK. JSON array of assets returned.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API-02</t>
        </is>
      </c>
      <c r="B7" s="36" t="inlineStr">
        <is>
          <t>POST /api/v1/assets</t>
        </is>
      </c>
      <c r="C7" s="37" t="inlineStr">
        <is>
          <t>1. POST a new asset JSON to /api/v1/assets
2. Check response</t>
        </is>
      </c>
      <c r="D7" s="37" t="inlineStr">
        <is>
          <t>201 Created. New asset in response body. Appears in asset list.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API-03</t>
        </is>
      </c>
      <c r="B8" s="30" t="inlineStr">
        <is>
          <t>GET /api/v1/vulnerabilities</t>
        </is>
      </c>
      <c r="C8" s="31" t="inlineStr">
        <is>
          <t>1. Call GET /api/v1/vulnerabilities
2. Check response</t>
        </is>
      </c>
      <c r="D8" s="31" t="inlineStr">
        <is>
          <t>200 OK. Vulnerability list returned with CVE IDs, CVSS scores.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API-04</t>
        </is>
      </c>
      <c r="B9" s="36" t="inlineStr">
        <is>
          <t>GET /api/v1/compliance/ce</t>
        </is>
      </c>
      <c r="C9" s="37" t="inlineStr">
        <is>
          <t>1. Call GET /api/v1/compliance/ce
2. Check response</t>
        </is>
      </c>
      <c r="D9" s="37" t="inlineStr">
        <is>
          <t>200 OK. CE control statuses returned as JSON.</t>
        </is>
      </c>
      <c r="E9" s="32" t="inlineStr">
        <is>
          <t>Pending</t>
        </is>
      </c>
      <c r="F9" s="38" t="inlineStr"/>
      <c r="G9" s="37" t="inlineStr"/>
      <c r="H9" s="34" t="inlineStr">
        <is>
          <t>High</t>
        </is>
      </c>
    </row>
    <row r="10" ht="52" customHeight="1">
      <c r="A10" s="29" t="inlineStr">
        <is>
          <t>API-05</t>
        </is>
      </c>
      <c r="B10" s="30" t="inlineStr">
        <is>
          <t>POST /api/v1/scans/trigger</t>
        </is>
      </c>
      <c r="C10" s="31" t="inlineStr">
        <is>
          <t>1. POST to trigger a network scan
2. Check scan starts</t>
        </is>
      </c>
      <c r="D10" s="31" t="inlineStr">
        <is>
          <t>202 Accepted. Scan job queued. Scan ID returned.</t>
        </is>
      </c>
      <c r="E10" s="32" t="inlineStr">
        <is>
          <t>Pending</t>
        </is>
      </c>
      <c r="F10" s="33" t="inlineStr"/>
      <c r="G10" s="31" t="inlineStr"/>
      <c r="H10" s="34" t="inlineStr">
        <is>
          <t>High</t>
        </is>
      </c>
    </row>
    <row r="11" ht="52" customHeight="1">
      <c r="A11" s="35" t="inlineStr">
        <is>
          <t>API-06</t>
        </is>
      </c>
      <c r="B11" s="36" t="inlineStr">
        <is>
          <t>Rate Limiting</t>
        </is>
      </c>
      <c r="C11" s="37" t="inlineStr">
        <is>
          <t>1. Send 100+ requests in quick succession
2. Check response after limit</t>
        </is>
      </c>
      <c r="D11" s="37" t="inlineStr">
        <is>
          <t>429 Too Many Requests returned. Rate limit header present.</t>
        </is>
      </c>
      <c r="E11" s="32" t="inlineStr">
        <is>
          <t>Pending</t>
        </is>
      </c>
      <c r="F11" s="38" t="inlineStr"/>
      <c r="G11" s="37" t="inlineStr"/>
      <c r="H11" s="39" t="inlineStr">
        <is>
          <t>Medium</t>
        </is>
      </c>
    </row>
    <row r="12" ht="52" customHeight="1">
      <c r="A12" s="29" t="inlineStr">
        <is>
          <t>API-07</t>
        </is>
      </c>
      <c r="B12" s="30" t="inlineStr">
        <is>
          <t>API Documentation (Swagger/OpenAPI)</t>
        </is>
      </c>
      <c r="C12" s="31" t="inlineStr">
        <is>
          <t>1. Navigate to /docs or /api/docs
2. Verify all endpoints listed</t>
        </is>
      </c>
      <c r="D12" s="31" t="inlineStr">
        <is>
          <t>Swagger UI loads. All endpoints documented with request/response schemas.</t>
        </is>
      </c>
      <c r="E12" s="32" t="inlineStr">
        <is>
          <t>Pending</t>
        </is>
      </c>
      <c r="F12" s="33" t="inlineStr"/>
      <c r="G12" s="31" t="inlineStr"/>
      <c r="H12" s="39" t="inlineStr">
        <is>
          <t>Medium</t>
        </is>
      </c>
    </row>
    <row r="13" ht="28" customHeight="1">
      <c r="A13" s="40" t="inlineStr">
        <is>
          <t>💡  HOW TO USE:  Select STATUS dropdown → choose Passed / Failed / Skipped.  For Failed tests, describe the exact error in the TESTER NOTES column.  Date format: DD/MM/YYYY</t>
        </is>
      </c>
      <c r="B13" s="41" t="n"/>
      <c r="C13" s="41" t="n"/>
      <c r="D13" s="41" t="n"/>
      <c r="E13" s="41" t="n"/>
      <c r="F13" s="41" t="n"/>
      <c r="G13" s="41" t="n"/>
      <c r="H13" s="42" t="n"/>
    </row>
  </sheetData>
  <mergeCells count="3">
    <mergeCell ref="A3:H3"/>
    <mergeCell ref="A2:H2"/>
    <mergeCell ref="A13:H13"/>
  </mergeCells>
  <dataValidations count="1">
    <dataValidation sqref="E6 E7 E8 E9 E10 E11 E12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2" customWidth="1" min="3" max="3"/>
    <col width="32" customWidth="1" min="4" max="4"/>
    <col width="12" customWidth="1" min="5" max="5"/>
    <col width="13" customWidth="1" min="6" max="6"/>
    <col width="45" customWidth="1" min="7" max="7"/>
    <col width="10" customWidth="1" min="8" max="8"/>
  </cols>
  <sheetData>
    <row r="1" ht="6" customHeight="1"/>
    <row r="2" ht="30" customHeight="1">
      <c r="A2" s="24" t="inlineStr">
        <is>
          <t>CyberAssetIQ – Module 17 – Dashboard UI &amp; UX</t>
        </is>
      </c>
    </row>
    <row r="3" ht="14" customHeight="1">
      <c r="A3" s="25" t="inlineStr">
        <is>
          <t>Test Status: Pending  |  Fill in columns E–H for each test case</t>
        </is>
      </c>
    </row>
    <row r="4" ht="6" customHeight="1"/>
    <row r="5" ht="20" customHeight="1">
      <c r="A5" s="26" t="inlineStr">
        <is>
          <t>TEST ID</t>
        </is>
      </c>
      <c r="B5" s="27" t="inlineStr">
        <is>
          <t>TEST NAME</t>
        </is>
      </c>
      <c r="C5" s="27" t="inlineStr">
        <is>
          <t>TEST STEPS / HOW TO TEST</t>
        </is>
      </c>
      <c r="D5" s="27" t="inlineStr">
        <is>
          <t>EXPECTED RESULT</t>
        </is>
      </c>
      <c r="E5" s="27" t="inlineStr">
        <is>
          <t>STATUS</t>
        </is>
      </c>
      <c r="F5" s="27" t="inlineStr">
        <is>
          <t>DATE TESTED</t>
        </is>
      </c>
      <c r="G5" s="27" t="inlineStr">
        <is>
          <t>TESTER NOTES / BUG DESCRIPTION</t>
        </is>
      </c>
      <c r="H5" s="28" t="inlineStr">
        <is>
          <t>PRIORITY</t>
        </is>
      </c>
    </row>
    <row r="6" ht="52" customHeight="1">
      <c r="A6" s="29" t="inlineStr">
        <is>
          <t>UI-01</t>
        </is>
      </c>
      <c r="B6" s="30" t="inlineStr">
        <is>
          <t>Dashboard Loads After Login</t>
        </is>
      </c>
      <c r="C6" s="31" t="inlineStr">
        <is>
          <t>1. Log in
2. Observe main dashboard</t>
        </is>
      </c>
      <c r="D6" s="31" t="inlineStr">
        <is>
          <t>Dashboard renders: asset count, risk score, CVE summary, recent alerts. No blank panels.</t>
        </is>
      </c>
      <c r="E6" s="32" t="inlineStr">
        <is>
          <t>Pending</t>
        </is>
      </c>
      <c r="F6" s="33" t="inlineStr"/>
      <c r="G6" s="31" t="inlineStr"/>
      <c r="H6" s="34" t="inlineStr">
        <is>
          <t>High</t>
        </is>
      </c>
    </row>
    <row r="7" ht="52" customHeight="1">
      <c r="A7" s="35" t="inlineStr">
        <is>
          <t>UI-02</t>
        </is>
      </c>
      <c r="B7" s="36" t="inlineStr">
        <is>
          <t>Navigation Menu – All Sections</t>
        </is>
      </c>
      <c r="C7" s="37" t="inlineStr">
        <is>
          <t>1. Click every item in the left-hand menu</t>
        </is>
      </c>
      <c r="D7" s="37" t="inlineStr">
        <is>
          <t>Each section loads without 404 or blank page.</t>
        </is>
      </c>
      <c r="E7" s="32" t="inlineStr">
        <is>
          <t>Pending</t>
        </is>
      </c>
      <c r="F7" s="38" t="inlineStr"/>
      <c r="G7" s="37" t="inlineStr"/>
      <c r="H7" s="34" t="inlineStr">
        <is>
          <t>High</t>
        </is>
      </c>
    </row>
    <row r="8" ht="52" customHeight="1">
      <c r="A8" s="29" t="inlineStr">
        <is>
          <t>UI-03</t>
        </is>
      </c>
      <c r="B8" s="30" t="inlineStr">
        <is>
          <t>Dark Background – White Text Visibility</t>
        </is>
      </c>
      <c r="C8" s="31" t="inlineStr">
        <is>
          <t>1. Check all headers and panel titles
2. Ensure text is readable</t>
        </is>
      </c>
      <c r="D8" s="31" t="inlineStr">
        <is>
          <t>All text on dark backgrounds is WHITE or bright colour. No invisible dark text.</t>
        </is>
      </c>
      <c r="E8" s="32" t="inlineStr">
        <is>
          <t>Pending</t>
        </is>
      </c>
      <c r="F8" s="33" t="inlineStr"/>
      <c r="G8" s="31" t="inlineStr"/>
      <c r="H8" s="34" t="inlineStr">
        <is>
          <t>High</t>
        </is>
      </c>
    </row>
    <row r="9" ht="52" customHeight="1">
      <c r="A9" s="35" t="inlineStr">
        <is>
          <t>UI-04</t>
        </is>
      </c>
      <c r="B9" s="36" t="inlineStr">
        <is>
          <t>Mobile / Tablet Responsive</t>
        </is>
      </c>
      <c r="C9" s="37" t="inlineStr">
        <is>
          <t>1. Open on a tablet or use browser dev tools at 768px width</t>
        </is>
      </c>
      <c r="D9" s="37" t="inlineStr">
        <is>
          <t>Layout adjusts. No overlapping elements. Navigation accessible.</t>
        </is>
      </c>
      <c r="E9" s="32" t="inlineStr">
        <is>
          <t>Pending</t>
        </is>
      </c>
      <c r="F9" s="38" t="inlineStr"/>
      <c r="G9" s="37" t="inlineStr"/>
      <c r="H9" s="39" t="inlineStr">
        <is>
          <t>Medium</t>
        </is>
      </c>
    </row>
    <row r="10" ht="52" customHeight="1">
      <c r="A10" s="29" t="inlineStr">
        <is>
          <t>UI-05</t>
        </is>
      </c>
      <c r="B10" s="30" t="inlineStr">
        <is>
          <t>Loading States</t>
        </is>
      </c>
      <c r="C10" s="31" t="inlineStr">
        <is>
          <t>1. Trigger a slow operation (large scan)
2. Observe UI during load</t>
        </is>
      </c>
      <c r="D10" s="31" t="inlineStr">
        <is>
          <t>Loading spinner or progress bar shown. UI does not freeze.</t>
        </is>
      </c>
      <c r="E10" s="32" t="inlineStr">
        <is>
          <t>Pending</t>
        </is>
      </c>
      <c r="F10" s="33" t="inlineStr"/>
      <c r="G10" s="31" t="inlineStr"/>
      <c r="H10" s="39" t="inlineStr">
        <is>
          <t>Medium</t>
        </is>
      </c>
    </row>
    <row r="11" ht="52" customHeight="1">
      <c r="A11" s="35" t="inlineStr">
        <is>
          <t>UI-06</t>
        </is>
      </c>
      <c r="B11" s="36" t="inlineStr">
        <is>
          <t>Error Messages</t>
        </is>
      </c>
      <c r="C11" s="37" t="inlineStr">
        <is>
          <t>1. Submit a form with invalid data
2. Disconnect API and attempt action</t>
        </is>
      </c>
      <c r="D11" s="37" t="inlineStr">
        <is>
          <t>Clear user-friendly error messages shown. No raw stack traces exposed.</t>
        </is>
      </c>
      <c r="E11" s="32" t="inlineStr">
        <is>
          <t>Pending</t>
        </is>
      </c>
      <c r="F11" s="38" t="inlineStr"/>
      <c r="G11" s="37" t="inlineStr"/>
      <c r="H11" s="34" t="inlineStr">
        <is>
          <t>High</t>
        </is>
      </c>
    </row>
    <row r="12" ht="52" customHeight="1">
      <c r="A12" s="29" t="inlineStr">
        <is>
          <t>UI-07</t>
        </is>
      </c>
      <c r="B12" s="30" t="inlineStr">
        <is>
          <t>Ctrl+Shift+R Hard Refresh</t>
        </is>
      </c>
      <c r="C12" s="31" t="inlineStr">
        <is>
          <t>1. Make a backend change
2. Hard refresh browser
3. Verify change reflected</t>
        </is>
      </c>
      <c r="D12" s="31" t="inlineStr">
        <is>
          <t>Latest data loads after hard refresh. No cached stale data.</t>
        </is>
      </c>
      <c r="E12" s="32" t="inlineStr">
        <is>
          <t>Pending</t>
        </is>
      </c>
      <c r="F12" s="33" t="inlineStr"/>
      <c r="G12" s="31" t="inlineStr"/>
      <c r="H12" s="39" t="inlineStr">
        <is>
          <t>Medium</t>
        </is>
      </c>
    </row>
    <row r="13" ht="28" customHeight="1">
      <c r="A13" s="40" t="inlineStr">
        <is>
          <t>💡  HOW TO USE:  Select STATUS dropdown → choose Passed / Failed / Skipped.  For Failed tests, describe the exact error in the TESTER NOTES column.  Date format: DD/MM/YYYY</t>
        </is>
      </c>
      <c r="B13" s="41" t="n"/>
      <c r="C13" s="41" t="n"/>
      <c r="D13" s="41" t="n"/>
      <c r="E13" s="41" t="n"/>
      <c r="F13" s="41" t="n"/>
      <c r="G13" s="41" t="n"/>
      <c r="H13" s="42" t="n"/>
    </row>
  </sheetData>
  <mergeCells count="3">
    <mergeCell ref="A3:H3"/>
    <mergeCell ref="A2:H2"/>
    <mergeCell ref="A13:H13"/>
  </mergeCells>
  <dataValidations count="1">
    <dataValidation sqref="E6 E7 E8 E9 E10 E11 E12" showDropDown="0" showInputMessage="0" showErrorMessage="0" allowBlank="1" type="list">
      <formula1>"Pending,Passed,Failed,Skipped"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2026-04-17T20:52:35Z</dcterms:created>
  <dcterms:modified xmlns:dcterms="http://purl.org/dc/terms/" xmlns:xsi="http://www.w3.org/2001/XMLSchema-instance" xsi:type="dcterms:W3CDTF">2026-04-17T20:52:35Z</dcterms:modified>
</cp:coreProperties>
</file>